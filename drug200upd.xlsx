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lessings\Documents\ACCOMPLISHMENT TRACKER\excel practice\"/>
    </mc:Choice>
  </mc:AlternateContent>
  <xr:revisionPtr revIDLastSave="0" documentId="8_{7B2AA580-65BD-4436-B07A-79FFF9592E49}" xr6:coauthVersionLast="47" xr6:coauthVersionMax="47" xr10:uidLastSave="{00000000-0000-0000-0000-000000000000}"/>
  <bookViews>
    <workbookView xWindow="-110" yWindow="-110" windowWidth="19420" windowHeight="10300" activeTab="3" xr2:uid="{93FD1ABE-2F46-40C9-8DB7-C006FB954975}"/>
  </bookViews>
  <sheets>
    <sheet name="drug200" sheetId="1" r:id="rId1"/>
    <sheet name="Sheet2" sheetId="3" r:id="rId2"/>
    <sheet name="Sheet3" sheetId="4" r:id="rId3"/>
    <sheet name="Sheet1" sheetId="5" r:id="rId4"/>
  </sheets>
  <definedNames>
    <definedName name="_xlnm._FilterDatabase" localSheetId="0" hidden="1">drug200!$A$1:$H$201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" i="1"/>
</calcChain>
</file>

<file path=xl/sharedStrings.xml><?xml version="1.0" encoding="utf-8"?>
<sst xmlns="http://schemas.openxmlformats.org/spreadsheetml/2006/main" count="1094" uniqueCount="41">
  <si>
    <t>Age</t>
  </si>
  <si>
    <t>Sex</t>
  </si>
  <si>
    <t>BP</t>
  </si>
  <si>
    <t>Cholesterol</t>
  </si>
  <si>
    <t>Na_to_K</t>
  </si>
  <si>
    <t>Drug</t>
  </si>
  <si>
    <t>F</t>
  </si>
  <si>
    <t>HIGH</t>
  </si>
  <si>
    <t>DrugY</t>
  </si>
  <si>
    <t>M</t>
  </si>
  <si>
    <t>LOW</t>
  </si>
  <si>
    <t>drugC</t>
  </si>
  <si>
    <t>NORMAL</t>
  </si>
  <si>
    <t>drugX</t>
  </si>
  <si>
    <t>drugA</t>
  </si>
  <si>
    <t>drugB</t>
  </si>
  <si>
    <t>AGE RANGE</t>
  </si>
  <si>
    <t>Row Labels</t>
  </si>
  <si>
    <t>20-30</t>
  </si>
  <si>
    <t>30-40</t>
  </si>
  <si>
    <t>40-50</t>
  </si>
  <si>
    <t>50-60</t>
  </si>
  <si>
    <t>60-70</t>
  </si>
  <si>
    <t>70+</t>
  </si>
  <si>
    <t>Minor</t>
  </si>
  <si>
    <t>Grand Total</t>
  </si>
  <si>
    <t>Column Labels</t>
  </si>
  <si>
    <t>Count of Cholesterol</t>
  </si>
  <si>
    <t>Na-K Range</t>
  </si>
  <si>
    <t>10-20</t>
  </si>
  <si>
    <t>&lt;10</t>
  </si>
  <si>
    <t>Count of Drug</t>
  </si>
  <si>
    <t>20-30 Total</t>
  </si>
  <si>
    <t>30-40 Total</t>
  </si>
  <si>
    <t>40-50 Total</t>
  </si>
  <si>
    <t>50-60 Total</t>
  </si>
  <si>
    <t>60-70 Total</t>
  </si>
  <si>
    <t>70+ Total</t>
  </si>
  <si>
    <t>Minor Total</t>
  </si>
  <si>
    <t>Count of BP</t>
  </si>
  <si>
    <t>EFFECT OF EXPERIMENTAL DRUGS A,B,C,X and Y ON THE BP and CHOLESTEROL of 200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</si>
</sst>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[drug200upd.xlsx]Sheet2!PivotTable3</c:name>
    <c:fmtId val="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Sheet2!$C$5:$C$26</c:f>
              <c:numCache>
                <c:formatCode>General</c:formatCode>
                <c:ptCount val="14"/>
                <c:pt idx="0">
                  <c:v>9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1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6-4127-985D-D3BEE0A535EC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Sheet2!$D$5:$D$26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14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6-4127-985D-D3BEE0A535EC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Sheet2!$E$5:$E$26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2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6-4127-985D-D3BEE0A5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66624"/>
        <c:axId val="63164224"/>
      </c:barChart>
      <c:catAx>
        <c:axId val="631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164224"/>
        <c:crosses val="autoZero"/>
        <c:auto val="1"/>
        <c:lblAlgn val="ctr"/>
        <c:lblOffset val="100"/>
        <c:noMultiLvlLbl val="0"/>
      </c:catAx>
      <c:valAx>
        <c:axId val="631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1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[drug200upd.xlsx]Sheet2!PivotTable6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Sheet2!$I$10:$I$11</c:f>
              <c:strCache>
                <c:ptCount val="1"/>
                <c:pt idx="0">
                  <c:v>drugA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Sheet2!$I$12:$I$16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F-4F97-ADC8-211CC0BEB3DC}"/>
            </c:ext>
          </c:extLst>
        </c:ser>
        <c:ser>
          <c:idx val="1"/>
          <c:order val="1"/>
          <c:tx>
            <c:strRef>
              <c:f>Sheet2!$J$10:$J$11</c:f>
              <c:strCache>
                <c:ptCount val="1"/>
                <c:pt idx="0">
                  <c:v>drugB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Sheet2!$J$12:$J$16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F-4F97-ADC8-211CC0BEB3DC}"/>
            </c:ext>
          </c:extLst>
        </c:ser>
        <c:ser>
          <c:idx val="2"/>
          <c:order val="2"/>
          <c:tx>
            <c:strRef>
              <c:f>Sheet2!$K$10:$K$11</c:f>
              <c:strCache>
                <c:ptCount val="1"/>
                <c:pt idx="0">
                  <c:v>drugC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Sheet2!$K$12:$K$16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F-4F97-ADC8-211CC0BEB3DC}"/>
            </c:ext>
          </c:extLst>
        </c:ser>
        <c:ser>
          <c:idx val="3"/>
          <c:order val="3"/>
          <c:tx>
            <c:strRef>
              <c:f>Sheet2!$L$10:$L$11</c:f>
              <c:strCache>
                <c:ptCount val="1"/>
                <c:pt idx="0">
                  <c:v>drugX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Sheet2!$L$12:$L$16</c:f>
              <c:numCache>
                <c:formatCode>General</c:formatCode>
                <c:ptCount val="4"/>
                <c:pt idx="0">
                  <c:v>22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F-4F97-ADC8-211CC0BEB3DC}"/>
            </c:ext>
          </c:extLst>
        </c:ser>
        <c:ser>
          <c:idx val="4"/>
          <c:order val="4"/>
          <c:tx>
            <c:strRef>
              <c:f>Sheet2!$M$10:$M$11</c:f>
              <c:strCache>
                <c:ptCount val="1"/>
                <c:pt idx="0">
                  <c:v>DrugY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Sheet2!$M$12:$M$16</c:f>
              <c:numCache>
                <c:formatCode>General</c:formatCode>
                <c:ptCount val="4"/>
                <c:pt idx="1">
                  <c:v>44</c:v>
                </c:pt>
                <c:pt idx="2">
                  <c:v>35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F-4F97-ADC8-211CC0BEB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201120"/>
        <c:axId val="1899204000"/>
      </c:lineChart>
      <c:catAx>
        <c:axId val="18992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4000"/>
        <c:crosses val="autoZero"/>
        <c:auto val="1"/>
        <c:lblAlgn val="ctr"/>
        <c:lblOffset val="100"/>
        <c:noMultiLvlLbl val="0"/>
      </c:catAx>
      <c:valAx>
        <c:axId val="18992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Sheet2!$I$18:$I$19</c:f>
              <c:strCache>
                <c:ptCount val="1"/>
                <c:pt idx="0">
                  <c:v>drugA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Sheet2!$I$20:$I$23</c:f>
              <c:numCache>
                <c:formatCode>General</c:formatCode>
                <c:ptCount val="3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5-4EF1-9C20-543F1868187E}"/>
            </c:ext>
          </c:extLst>
        </c:ser>
        <c:ser>
          <c:idx val="1"/>
          <c:order val="1"/>
          <c:tx>
            <c:strRef>
              <c:f>Sheet2!$J$18:$J$19</c:f>
              <c:strCache>
                <c:ptCount val="1"/>
                <c:pt idx="0">
                  <c:v>drugB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Sheet2!$J$20:$J$23</c:f>
              <c:numCache>
                <c:formatCode>General</c:formatCode>
                <c:ptCount val="3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5-4EF1-9C20-543F1868187E}"/>
            </c:ext>
          </c:extLst>
        </c:ser>
        <c:ser>
          <c:idx val="2"/>
          <c:order val="2"/>
          <c:tx>
            <c:strRef>
              <c:f>Sheet2!$K$18:$K$19</c:f>
              <c:strCache>
                <c:ptCount val="1"/>
                <c:pt idx="0">
                  <c:v>drugC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Sheet2!$K$20:$K$23</c:f>
              <c:numCache>
                <c:formatCode>General</c:formatCode>
                <c:ptCount val="3"/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5-4EF1-9C20-543F1868187E}"/>
            </c:ext>
          </c:extLst>
        </c:ser>
        <c:ser>
          <c:idx val="3"/>
          <c:order val="3"/>
          <c:tx>
            <c:strRef>
              <c:f>Sheet2!$L$18:$L$19</c:f>
              <c:strCache>
                <c:ptCount val="1"/>
                <c:pt idx="0">
                  <c:v>drugX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Sheet2!$L$20:$L$23</c:f>
              <c:numCache>
                <c:formatCode>General</c:formatCode>
                <c:ptCount val="3"/>
                <c:pt idx="1">
                  <c:v>18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5-4EF1-9C20-543F1868187E}"/>
            </c:ext>
          </c:extLst>
        </c:ser>
        <c:ser>
          <c:idx val="4"/>
          <c:order val="4"/>
          <c:tx>
            <c:strRef>
              <c:f>Sheet2!$M$18:$M$19</c:f>
              <c:strCache>
                <c:ptCount val="1"/>
                <c:pt idx="0">
                  <c:v>DrugY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Sheet2!$M$20:$M$23</c:f>
              <c:numCache>
                <c:formatCode>General</c:formatCode>
                <c:ptCount val="3"/>
                <c:pt idx="0">
                  <c:v>38</c:v>
                </c:pt>
                <c:pt idx="1">
                  <c:v>30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5-4EF1-9C20-543F18681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396624"/>
        <c:axId val="1885399984"/>
      </c:barChart>
      <c:catAx>
        <c:axId val="188539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5399984"/>
        <c:crosses val="autoZero"/>
        <c:auto val="1"/>
        <c:lblAlgn val="ctr"/>
        <c:lblOffset val="100"/>
        <c:noMultiLvlLbl val="0"/>
      </c:catAx>
      <c:valAx>
        <c:axId val="18853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539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Sheet2!$I$25:$I$26</c:f>
              <c:strCache>
                <c:ptCount val="1"/>
                <c:pt idx="0">
                  <c:v>drugA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Sheet2!$I$27:$I$29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D-4A48-8FC5-4A68E1DDD57F}"/>
            </c:ext>
          </c:extLst>
        </c:ser>
        <c:ser>
          <c:idx val="1"/>
          <c:order val="1"/>
          <c:tx>
            <c:strRef>
              <c:f>Sheet2!$J$25:$J$26</c:f>
              <c:strCache>
                <c:ptCount val="1"/>
                <c:pt idx="0">
                  <c:v>drugB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Sheet2!$J$27:$J$29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D-4A48-8FC5-4A68E1DDD57F}"/>
            </c:ext>
          </c:extLst>
        </c:ser>
        <c:ser>
          <c:idx val="2"/>
          <c:order val="2"/>
          <c:tx>
            <c:strRef>
              <c:f>Sheet2!$K$25:$K$26</c:f>
              <c:strCache>
                <c:ptCount val="1"/>
                <c:pt idx="0">
                  <c:v>drugC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Sheet2!$K$27:$K$29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D-4A48-8FC5-4A68E1DDD57F}"/>
            </c:ext>
          </c:extLst>
        </c:ser>
        <c:ser>
          <c:idx val="3"/>
          <c:order val="3"/>
          <c:tx>
            <c:strRef>
              <c:f>Sheet2!$L$25:$L$26</c:f>
              <c:strCache>
                <c:ptCount val="1"/>
                <c:pt idx="0">
                  <c:v>drugX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Sheet2!$L$27:$L$29</c:f>
              <c:numCache>
                <c:formatCode>General</c:formatCode>
                <c:ptCount val="2"/>
                <c:pt idx="0">
                  <c:v>20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D-4A48-8FC5-4A68E1DDD57F}"/>
            </c:ext>
          </c:extLst>
        </c:ser>
        <c:ser>
          <c:idx val="4"/>
          <c:order val="4"/>
          <c:tx>
            <c:strRef>
              <c:f>Sheet2!$M$25:$M$26</c:f>
              <c:strCache>
                <c:ptCount val="1"/>
                <c:pt idx="0">
                  <c:v>DrugY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Sheet2!$M$27:$M$29</c:f>
              <c:numCache>
                <c:formatCode>General</c:formatCode>
                <c:ptCount val="2"/>
                <c:pt idx="0">
                  <c:v>47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6D-4A48-8FC5-4A68E1DDD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203520"/>
        <c:axId val="1899204960"/>
      </c:barChart>
      <c:catAx>
        <c:axId val="189920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4960"/>
        <c:crosses val="autoZero"/>
        <c:auto val="1"/>
        <c:lblAlgn val="ctr"/>
        <c:lblOffset val="100"/>
        <c:noMultiLvlLbl val="0"/>
      </c:catAx>
      <c:valAx>
        <c:axId val="18992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[drug200upd.xlsx]Sheet2!PivotTable4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Sheet2!$B$29:$B$30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3-4FD0-A1D2-338D3978FA3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3-4FD0-A1D2-338D3978FA3B}"/>
              </c:ext>
            </c:extLst>
          </c:dPt>
          <c:cat>
            <c:strRef>
              <c:f>Sheet2!$A$31:$A$33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Sheet2!$B$31:$B$33</c:f>
              <c:numCache>
                <c:formatCode>General</c:formatCode>
                <c:ptCount val="2"/>
                <c:pt idx="0">
                  <c:v>49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53-4FD0-A1D2-338D3978FA3B}"/>
            </c:ext>
          </c:extLst>
        </c:ser>
        <c:ser>
          <c:idx val="1"/>
          <c:order val="1"/>
          <c:tx>
            <c:strRef>
              <c:f>Sheet2!$C$29:$C$30</c:f>
              <c:strCache>
                <c:ptCount val="1"/>
                <c:pt idx="0">
                  <c:v>NORMAL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253-4FD0-A1D2-338D3978FA3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253-4FD0-A1D2-338D3978FA3B}"/>
              </c:ext>
            </c:extLst>
          </c:dPt>
          <c:cat>
            <c:strRef>
              <c:f>Sheet2!$A$31:$A$33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Sheet2!$C$31:$C$33</c:f>
              <c:numCache>
                <c:formatCode>General</c:formatCode>
                <c:ptCount val="2"/>
                <c:pt idx="0">
                  <c:v>47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53-4FD0-A1D2-338D3978F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[drug200upd.xlsx]Sheet2!PivotTable6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Sheet2!$I$10:$I$11</c:f>
              <c:strCache>
                <c:ptCount val="1"/>
                <c:pt idx="0">
                  <c:v>drugA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Sheet2!$I$12:$I$16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9-4095-B561-F33290E80500}"/>
            </c:ext>
          </c:extLst>
        </c:ser>
        <c:ser>
          <c:idx val="1"/>
          <c:order val="1"/>
          <c:tx>
            <c:strRef>
              <c:f>Sheet2!$J$10:$J$11</c:f>
              <c:strCache>
                <c:ptCount val="1"/>
                <c:pt idx="0">
                  <c:v>drugB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Sheet2!$J$12:$J$16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9-4095-B561-F33290E80500}"/>
            </c:ext>
          </c:extLst>
        </c:ser>
        <c:ser>
          <c:idx val="2"/>
          <c:order val="2"/>
          <c:tx>
            <c:strRef>
              <c:f>Sheet2!$K$10:$K$11</c:f>
              <c:strCache>
                <c:ptCount val="1"/>
                <c:pt idx="0">
                  <c:v>drugC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Sheet2!$K$12:$K$16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9-4095-B561-F33290E80500}"/>
            </c:ext>
          </c:extLst>
        </c:ser>
        <c:ser>
          <c:idx val="3"/>
          <c:order val="3"/>
          <c:tx>
            <c:strRef>
              <c:f>Sheet2!$L$10:$L$11</c:f>
              <c:strCache>
                <c:ptCount val="1"/>
                <c:pt idx="0">
                  <c:v>drugX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Sheet2!$L$12:$L$16</c:f>
              <c:numCache>
                <c:formatCode>General</c:formatCode>
                <c:ptCount val="4"/>
                <c:pt idx="0">
                  <c:v>22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9-4095-B561-F33290E80500}"/>
            </c:ext>
          </c:extLst>
        </c:ser>
        <c:ser>
          <c:idx val="4"/>
          <c:order val="4"/>
          <c:tx>
            <c:strRef>
              <c:f>Sheet2!$M$10:$M$11</c:f>
              <c:strCache>
                <c:ptCount val="1"/>
                <c:pt idx="0">
                  <c:v>DrugY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Sheet2!$H$12:$H$16</c:f>
              <c:strCache>
                <c:ptCount val="4"/>
                <c:pt idx="0">
                  <c:v>&lt;10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</c:strCache>
            </c:strRef>
          </c:cat>
          <c:val>
            <c:numRef>
              <c:f>Sheet2!$M$12:$M$16</c:f>
              <c:numCache>
                <c:formatCode>General</c:formatCode>
                <c:ptCount val="4"/>
                <c:pt idx="1">
                  <c:v>44</c:v>
                </c:pt>
                <c:pt idx="2">
                  <c:v>35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9-4095-B561-F33290E80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201120"/>
        <c:axId val="1899204000"/>
      </c:lineChart>
      <c:catAx>
        <c:axId val="189920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Na-K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4000"/>
        <c:crosses val="autoZero"/>
        <c:auto val="1"/>
        <c:lblAlgn val="ctr"/>
        <c:lblOffset val="100"/>
        <c:noMultiLvlLbl val="0"/>
      </c:catAx>
      <c:valAx>
        <c:axId val="18992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Sheet2!$I$25:$I$26</c:f>
              <c:strCache>
                <c:ptCount val="1"/>
                <c:pt idx="0">
                  <c:v>drugA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Sheet2!$I$27:$I$29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D-4138-A6F6-CE596D6FF755}"/>
            </c:ext>
          </c:extLst>
        </c:ser>
        <c:ser>
          <c:idx val="1"/>
          <c:order val="1"/>
          <c:tx>
            <c:strRef>
              <c:f>Sheet2!$J$25:$J$26</c:f>
              <c:strCache>
                <c:ptCount val="1"/>
                <c:pt idx="0">
                  <c:v>drugB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Sheet2!$J$27:$J$29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D-4138-A6F6-CE596D6FF755}"/>
            </c:ext>
          </c:extLst>
        </c:ser>
        <c:ser>
          <c:idx val="2"/>
          <c:order val="2"/>
          <c:tx>
            <c:strRef>
              <c:f>Sheet2!$K$25:$K$26</c:f>
              <c:strCache>
                <c:ptCount val="1"/>
                <c:pt idx="0">
                  <c:v>drugC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Sheet2!$K$27:$K$29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D-4138-A6F6-CE596D6FF755}"/>
            </c:ext>
          </c:extLst>
        </c:ser>
        <c:ser>
          <c:idx val="3"/>
          <c:order val="3"/>
          <c:tx>
            <c:strRef>
              <c:f>Sheet2!$L$25:$L$26</c:f>
              <c:strCache>
                <c:ptCount val="1"/>
                <c:pt idx="0">
                  <c:v>drugX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Sheet2!$L$27:$L$29</c:f>
              <c:numCache>
                <c:formatCode>General</c:formatCode>
                <c:ptCount val="2"/>
                <c:pt idx="0">
                  <c:v>20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6D-4138-A6F6-CE596D6FF755}"/>
            </c:ext>
          </c:extLst>
        </c:ser>
        <c:ser>
          <c:idx val="4"/>
          <c:order val="4"/>
          <c:tx>
            <c:strRef>
              <c:f>Sheet2!$M$25:$M$26</c:f>
              <c:strCache>
                <c:ptCount val="1"/>
                <c:pt idx="0">
                  <c:v>DrugY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Sheet2!$H$27:$H$29</c:f>
              <c:strCache>
                <c:ptCount val="2"/>
                <c:pt idx="0">
                  <c:v>HIGH</c:v>
                </c:pt>
                <c:pt idx="1">
                  <c:v>NORMAL</c:v>
                </c:pt>
              </c:strCache>
            </c:strRef>
          </c:cat>
          <c:val>
            <c:numRef>
              <c:f>Sheet2!$M$27:$M$29</c:f>
              <c:numCache>
                <c:formatCode>General</c:formatCode>
                <c:ptCount val="2"/>
                <c:pt idx="0">
                  <c:v>47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6D-4138-A6F6-CE596D6FF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203520"/>
        <c:axId val="1899204960"/>
      </c:barChart>
      <c:catAx>
        <c:axId val="189920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Cholesterol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4960"/>
        <c:crosses val="autoZero"/>
        <c:auto val="1"/>
        <c:lblAlgn val="ctr"/>
        <c:lblOffset val="100"/>
        <c:noMultiLvlLbl val="0"/>
      </c:catAx>
      <c:valAx>
        <c:axId val="18992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920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[drug200upd.xlsx]Sheet2!PivotTable3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Sheet2!$C$5:$C$26</c:f>
              <c:numCache>
                <c:formatCode>General</c:formatCode>
                <c:ptCount val="14"/>
                <c:pt idx="0">
                  <c:v>9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1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2-4747-99CD-3F0D3001DF61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Sheet2!$D$5:$D$26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14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2-4747-99CD-3F0D3001DF61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Sheet2!$A$5:$B$26</c:f>
              <c:multiLvlStrCache>
                <c:ptCount val="1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</c:lvl>
                <c:lvl>
                  <c:pt idx="0">
                    <c:v>20-30</c:v>
                  </c:pt>
                  <c:pt idx="2">
                    <c:v>30-40</c:v>
                  </c:pt>
                  <c:pt idx="4">
                    <c:v>40-50</c:v>
                  </c:pt>
                  <c:pt idx="6">
                    <c:v>50-60</c:v>
                  </c:pt>
                  <c:pt idx="8">
                    <c:v>60-70</c:v>
                  </c:pt>
                  <c:pt idx="10">
                    <c:v>70+</c:v>
                  </c:pt>
                  <c:pt idx="12">
                    <c:v>Minor</c:v>
                  </c:pt>
                </c:lvl>
              </c:multiLvlStrCache>
            </c:multiLvlStrRef>
          </c:cat>
          <c:val>
            <c:numRef>
              <c:f>Sheet2!$E$5:$E$26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2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22-4747-99CD-3F0D3001D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66624"/>
        <c:axId val="63164224"/>
      </c:barChart>
      <c:catAx>
        <c:axId val="6316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164224"/>
        <c:crosses val="autoZero"/>
        <c:auto val="1"/>
        <c:lblAlgn val="ctr"/>
        <c:lblOffset val="100"/>
        <c:noMultiLvlLbl val="0"/>
      </c:catAx>
      <c:valAx>
        <c:axId val="631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1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Cholesterol Levels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Sheet2!$B$29:$B$30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11-496A-AC14-D448FB5EC49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11-496A-AC14-D448FB5EC499}"/>
              </c:ext>
            </c:extLst>
          </c:dPt>
          <c:cat>
            <c:strRef>
              <c:f>Sheet2!$A$31:$A$33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Sheet2!$B$31:$B$33</c:f>
              <c:numCache>
                <c:formatCode>General</c:formatCode>
                <c:ptCount val="2"/>
                <c:pt idx="0">
                  <c:v>49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11-496A-AC14-D448FB5EC499}"/>
            </c:ext>
          </c:extLst>
        </c:ser>
        <c:ser>
          <c:idx val="1"/>
          <c:order val="1"/>
          <c:tx>
            <c:strRef>
              <c:f>Sheet2!$C$29:$C$30</c:f>
              <c:strCache>
                <c:ptCount val="1"/>
                <c:pt idx="0">
                  <c:v>NORMAL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211-496A-AC14-D448FB5EC49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211-496A-AC14-D448FB5EC499}"/>
              </c:ext>
            </c:extLst>
          </c:dPt>
          <c:cat>
            <c:strRef>
              <c:f>Sheet2!$A$31:$A$33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Sheet2!$C$31:$C$33</c:f>
              <c:numCache>
                <c:formatCode>General</c:formatCode>
                <c:ptCount val="2"/>
                <c:pt idx="0">
                  <c:v>47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11-496A-AC14-D448FB5EC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[drug200upd.xlsx]Sheet2!PivotTable1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Sheet2!$I$18:$I$19</c:f>
              <c:strCache>
                <c:ptCount val="1"/>
                <c:pt idx="0">
                  <c:v>drugA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Sheet2!$I$20:$I$23</c:f>
              <c:numCache>
                <c:formatCode>General</c:formatCode>
                <c:ptCount val="3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2-487A-97C6-AB4C456B55AE}"/>
            </c:ext>
          </c:extLst>
        </c:ser>
        <c:ser>
          <c:idx val="1"/>
          <c:order val="1"/>
          <c:tx>
            <c:strRef>
              <c:f>Sheet2!$J$18:$J$19</c:f>
              <c:strCache>
                <c:ptCount val="1"/>
                <c:pt idx="0">
                  <c:v>drugB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Sheet2!$J$20:$J$23</c:f>
              <c:numCache>
                <c:formatCode>General</c:formatCode>
                <c:ptCount val="3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2-487A-97C6-AB4C456B55AE}"/>
            </c:ext>
          </c:extLst>
        </c:ser>
        <c:ser>
          <c:idx val="2"/>
          <c:order val="2"/>
          <c:tx>
            <c:strRef>
              <c:f>Sheet2!$K$18:$K$19</c:f>
              <c:strCache>
                <c:ptCount val="1"/>
                <c:pt idx="0">
                  <c:v>drugC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Sheet2!$K$20:$K$23</c:f>
              <c:numCache>
                <c:formatCode>General</c:formatCode>
                <c:ptCount val="3"/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2-487A-97C6-AB4C456B55AE}"/>
            </c:ext>
          </c:extLst>
        </c:ser>
        <c:ser>
          <c:idx val="3"/>
          <c:order val="3"/>
          <c:tx>
            <c:strRef>
              <c:f>Sheet2!$L$18:$L$19</c:f>
              <c:strCache>
                <c:ptCount val="1"/>
                <c:pt idx="0">
                  <c:v>drugX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Sheet2!$L$20:$L$23</c:f>
              <c:numCache>
                <c:formatCode>General</c:formatCode>
                <c:ptCount val="3"/>
                <c:pt idx="1">
                  <c:v>18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2-487A-97C6-AB4C456B55AE}"/>
            </c:ext>
          </c:extLst>
        </c:ser>
        <c:ser>
          <c:idx val="4"/>
          <c:order val="4"/>
          <c:tx>
            <c:strRef>
              <c:f>Sheet2!$M$18:$M$19</c:f>
              <c:strCache>
                <c:ptCount val="1"/>
                <c:pt idx="0">
                  <c:v>DrugY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Sheet2!$H$20:$H$23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</c:strCache>
            </c:strRef>
          </c:cat>
          <c:val>
            <c:numRef>
              <c:f>Sheet2!$M$20:$M$23</c:f>
              <c:numCache>
                <c:formatCode>General</c:formatCode>
                <c:ptCount val="3"/>
                <c:pt idx="0">
                  <c:v>38</c:v>
                </c:pt>
                <c:pt idx="1">
                  <c:v>30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E2-487A-97C6-AB4C456B5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396624"/>
        <c:axId val="1885399984"/>
      </c:barChart>
      <c:catAx>
        <c:axId val="1885396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5399984"/>
        <c:crosses val="autoZero"/>
        <c:auto val="1"/>
        <c:lblAlgn val="ctr"/>
        <c:lblOffset val="100"/>
        <c:noMultiLvlLbl val="0"/>
      </c:catAx>
      <c:valAx>
        <c:axId val="18853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539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3</xdr:row>
      <xdr:rowOff>57150</xdr:rowOff>
    </xdr:from>
    <xdr:to>
      <xdr:col>13</xdr:col>
      <xdr:colOff>76200</xdr:colOff>
      <xdr:row>17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40E43E-E1A4-491C-9923-49707E70A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5112A-D80B-4A25-97F0-FCFC0718F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304800</xdr:colOff>
      <xdr:row>33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A4889-7085-4E75-9715-E88DC2789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13</xdr:col>
      <xdr:colOff>304800</xdr:colOff>
      <xdr:row>51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61FA1E-3DEC-402C-AA90-07D59DFCB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22</xdr:col>
      <xdr:colOff>304800</xdr:colOff>
      <xdr:row>54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BAC09B-7E4D-4E81-9FA9-C89F6B67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120650</xdr:colOff>
      <xdr:row>0</xdr:row>
      <xdr:rowOff>107950</xdr:rowOff>
    </xdr:from>
    <xdr:to>
      <xdr:col>12</xdr:col>
      <xdr:colOff>215900</xdr:colOff>
      <xdr:row>3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9C4E21-9B92-772C-4309-FBF62328C816}"/>
            </a:ext>
          </a:extLst>
        </xdr:cNvPr>
        <xdr:cNvSpPr/>
      </xdr:nvSpPr>
      <xdr:spPr>
        <a:xfrm>
          <a:off x="6826250" y="107950"/>
          <a:ext cx="704850" cy="4762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900" b="1"/>
            <a:t>PATIENTS</a:t>
          </a:r>
        </a:p>
        <a:p>
          <a:pPr algn="ctr"/>
          <a:r>
            <a:rPr lang="en-US" sz="1200" b="1"/>
            <a:t>200</a:t>
          </a:r>
          <a:endParaRPr lang="en-NG" sz="800" b="1"/>
        </a:p>
      </xdr:txBody>
    </xdr:sp>
    <xdr:clientData/>
  </xdr:twoCellAnchor>
  <xdr:twoCellAnchor>
    <xdr:from>
      <xdr:col>12</xdr:col>
      <xdr:colOff>298450</xdr:colOff>
      <xdr:row>0</xdr:row>
      <xdr:rowOff>107950</xdr:rowOff>
    </xdr:from>
    <xdr:to>
      <xdr:col>13</xdr:col>
      <xdr:colOff>393700</xdr:colOff>
      <xdr:row>3</xdr:row>
      <xdr:rowOff>31750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1E2D0C-14B6-4EC9-A802-EFB78855E5BD}"/>
            </a:ext>
          </a:extLst>
        </xdr:cNvPr>
        <xdr:cNvSpPr/>
      </xdr:nvSpPr>
      <xdr:spPr>
        <a:xfrm>
          <a:off x="7613650" y="107950"/>
          <a:ext cx="704850" cy="4762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STAGES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en-NG" b="1">
            <a:effectLst/>
          </a:endParaRPr>
        </a:p>
      </xdr:txBody>
    </xdr:sp>
    <xdr:clientData/>
  </xdr:twoCellAnchor>
  <xdr:twoCellAnchor>
    <xdr:from>
      <xdr:col>13</xdr:col>
      <xdr:colOff>463550</xdr:colOff>
      <xdr:row>0</xdr:row>
      <xdr:rowOff>101600</xdr:rowOff>
    </xdr:from>
    <xdr:to>
      <xdr:col>14</xdr:col>
      <xdr:colOff>558800</xdr:colOff>
      <xdr:row>3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6A290BC-45F9-4B6F-8070-3859744E89CA}"/>
            </a:ext>
          </a:extLst>
        </xdr:cNvPr>
        <xdr:cNvSpPr/>
      </xdr:nvSpPr>
      <xdr:spPr>
        <a:xfrm>
          <a:off x="8388350" y="101600"/>
          <a:ext cx="704850" cy="47625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DRUGS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en-NG">
            <a:effectLst/>
          </a:endParaRPr>
        </a:p>
        <a:p>
          <a:pPr algn="l"/>
          <a:endParaRPr lang="en-NG" sz="1100"/>
        </a:p>
      </xdr:txBody>
    </xdr:sp>
    <xdr:clientData/>
  </xdr:twoCellAnchor>
  <xdr:twoCellAnchor>
    <xdr:from>
      <xdr:col>6</xdr:col>
      <xdr:colOff>9524</xdr:colOff>
      <xdr:row>4</xdr:row>
      <xdr:rowOff>152400</xdr:rowOff>
    </xdr:from>
    <xdr:to>
      <xdr:col>10</xdr:col>
      <xdr:colOff>547688</xdr:colOff>
      <xdr:row>17</xdr:row>
      <xdr:rowOff>137050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4E0CD0-7315-43C8-AA67-DDE6AE8AA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38106</xdr:colOff>
      <xdr:row>4</xdr:row>
      <xdr:rowOff>147638</xdr:rowOff>
    </xdr:from>
    <xdr:to>
      <xdr:col>15</xdr:col>
      <xdr:colOff>595321</xdr:colOff>
      <xdr:row>17</xdr:row>
      <xdr:rowOff>134938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698A22-4D5C-4545-8CBC-3BF270A1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136434</xdr:colOff>
      <xdr:row>18</xdr:row>
      <xdr:rowOff>11501</xdr:rowOff>
    </xdr:from>
    <xdr:to>
      <xdr:col>15</xdr:col>
      <xdr:colOff>603249</xdr:colOff>
      <xdr:row>30</xdr:row>
      <xdr:rowOff>75001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C0619D-1143-40A7-942F-53C671F0B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178167</xdr:rowOff>
    </xdr:from>
    <xdr:to>
      <xdr:col>6</xdr:col>
      <xdr:colOff>57096</xdr:colOff>
      <xdr:row>30</xdr:row>
      <xdr:rowOff>31751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3A03F2-0438-486E-BE4B-480CD6CEA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</xdr:row>
      <xdr:rowOff>159892</xdr:rowOff>
    </xdr:from>
    <xdr:to>
      <xdr:col>5</xdr:col>
      <xdr:colOff>520791</xdr:colOff>
      <xdr:row>17</xdr:row>
      <xdr:rowOff>123345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439BE0-6CA8-4320-8E0A-E9331756A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s" refreshedDate="46095.619132870372" createdVersion="8" refreshedVersion="8" minRefreshableVersion="3" recordCount="200" xr:uid="{9CC2AE61-10CD-4652-BF87-D67995DA7752}">
  <cacheSource type="worksheet">
    <worksheetSource ref="A1:H201" sheet="drug200"/>
  </cacheSource>
  <cacheFields count="8">
    <cacheField name="Age" numFmtId="0">
      <sharedItems containsSemiMixedTypes="0" containsString="0" containsNumber="1" containsInteger="1" minValue="15" maxValue="74"/>
    </cacheField>
    <cacheField name="AGE RANGE" numFmtId="0">
      <sharedItems count="7">
        <s v="20-30"/>
        <s v="40-50"/>
        <s v="60-70"/>
        <s v="30-40"/>
        <s v="70+"/>
        <s v="50-60"/>
        <s v="Minor"/>
      </sharedItems>
    </cacheField>
    <cacheField name="Sex" numFmtId="0">
      <sharedItems count="2">
        <s v="F"/>
        <s v="M"/>
      </sharedItems>
    </cacheField>
    <cacheField name="BP" numFmtId="0">
      <sharedItems count="3">
        <s v="HIGH"/>
        <s v="LOW"/>
        <s v="NORMAL"/>
      </sharedItems>
    </cacheField>
    <cacheField name="Cholesterol" numFmtId="0">
      <sharedItems count="2">
        <s v="HIGH"/>
        <s v="NORMAL"/>
      </sharedItems>
    </cacheField>
    <cacheField name="Na_to_K" numFmtId="0">
      <sharedItems containsSemiMixedTypes="0" containsString="0" containsNumber="1" minValue="6.2690000000000001" maxValue="38.247"/>
    </cacheField>
    <cacheField name="Na-K Range" numFmtId="0">
      <sharedItems count="4">
        <s v="20-30"/>
        <s v="10-20"/>
        <s v="&lt;10"/>
        <s v="30-40"/>
      </sharedItems>
    </cacheField>
    <cacheField name="Drug" numFmtId="0">
      <sharedItems count="5">
        <s v="DrugY"/>
        <s v="drugC"/>
        <s v="drugX"/>
        <s v="drugA"/>
        <s v="dru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"/>
    <x v="0"/>
    <x v="0"/>
    <x v="0"/>
    <x v="0"/>
    <n v="25.355"/>
    <x v="0"/>
    <x v="0"/>
  </r>
  <r>
    <n v="47"/>
    <x v="1"/>
    <x v="1"/>
    <x v="1"/>
    <x v="0"/>
    <n v="13.093"/>
    <x v="1"/>
    <x v="1"/>
  </r>
  <r>
    <n v="47"/>
    <x v="1"/>
    <x v="1"/>
    <x v="1"/>
    <x v="0"/>
    <n v="10.114000000000001"/>
    <x v="1"/>
    <x v="1"/>
  </r>
  <r>
    <n v="28"/>
    <x v="0"/>
    <x v="0"/>
    <x v="2"/>
    <x v="0"/>
    <n v="7.798"/>
    <x v="2"/>
    <x v="2"/>
  </r>
  <r>
    <n v="61"/>
    <x v="2"/>
    <x v="0"/>
    <x v="1"/>
    <x v="0"/>
    <n v="18.042999999999999"/>
    <x v="1"/>
    <x v="0"/>
  </r>
  <r>
    <n v="22"/>
    <x v="0"/>
    <x v="0"/>
    <x v="2"/>
    <x v="0"/>
    <n v="8.6069999999999993"/>
    <x v="2"/>
    <x v="2"/>
  </r>
  <r>
    <n v="49"/>
    <x v="1"/>
    <x v="0"/>
    <x v="2"/>
    <x v="0"/>
    <n v="16.274999999999999"/>
    <x v="1"/>
    <x v="0"/>
  </r>
  <r>
    <n v="41"/>
    <x v="1"/>
    <x v="1"/>
    <x v="1"/>
    <x v="0"/>
    <n v="11.037000000000001"/>
    <x v="1"/>
    <x v="1"/>
  </r>
  <r>
    <n v="60"/>
    <x v="2"/>
    <x v="1"/>
    <x v="2"/>
    <x v="0"/>
    <n v="15.170999999999999"/>
    <x v="1"/>
    <x v="0"/>
  </r>
  <r>
    <n v="43"/>
    <x v="1"/>
    <x v="1"/>
    <x v="1"/>
    <x v="1"/>
    <n v="19.367999999999999"/>
    <x v="1"/>
    <x v="0"/>
  </r>
  <r>
    <n v="47"/>
    <x v="1"/>
    <x v="0"/>
    <x v="1"/>
    <x v="0"/>
    <n v="11.766999999999999"/>
    <x v="1"/>
    <x v="1"/>
  </r>
  <r>
    <n v="34"/>
    <x v="3"/>
    <x v="0"/>
    <x v="0"/>
    <x v="1"/>
    <n v="19.199000000000002"/>
    <x v="1"/>
    <x v="0"/>
  </r>
  <r>
    <n v="43"/>
    <x v="1"/>
    <x v="1"/>
    <x v="1"/>
    <x v="0"/>
    <n v="15.375999999999999"/>
    <x v="1"/>
    <x v="0"/>
  </r>
  <r>
    <n v="74"/>
    <x v="4"/>
    <x v="0"/>
    <x v="1"/>
    <x v="0"/>
    <n v="20.942"/>
    <x v="0"/>
    <x v="0"/>
  </r>
  <r>
    <n v="50"/>
    <x v="5"/>
    <x v="0"/>
    <x v="2"/>
    <x v="0"/>
    <n v="12.702999999999999"/>
    <x v="1"/>
    <x v="2"/>
  </r>
  <r>
    <n v="16"/>
    <x v="6"/>
    <x v="0"/>
    <x v="0"/>
    <x v="1"/>
    <n v="15.516"/>
    <x v="1"/>
    <x v="0"/>
  </r>
  <r>
    <n v="69"/>
    <x v="2"/>
    <x v="1"/>
    <x v="1"/>
    <x v="1"/>
    <n v="11.455"/>
    <x v="1"/>
    <x v="2"/>
  </r>
  <r>
    <n v="43"/>
    <x v="1"/>
    <x v="1"/>
    <x v="0"/>
    <x v="0"/>
    <n v="13.972"/>
    <x v="1"/>
    <x v="3"/>
  </r>
  <r>
    <n v="23"/>
    <x v="0"/>
    <x v="1"/>
    <x v="1"/>
    <x v="0"/>
    <n v="7.298"/>
    <x v="2"/>
    <x v="1"/>
  </r>
  <r>
    <n v="32"/>
    <x v="3"/>
    <x v="0"/>
    <x v="0"/>
    <x v="1"/>
    <n v="25.974"/>
    <x v="0"/>
    <x v="0"/>
  </r>
  <r>
    <n v="57"/>
    <x v="5"/>
    <x v="1"/>
    <x v="1"/>
    <x v="1"/>
    <n v="19.128"/>
    <x v="1"/>
    <x v="0"/>
  </r>
  <r>
    <n v="63"/>
    <x v="2"/>
    <x v="1"/>
    <x v="2"/>
    <x v="0"/>
    <n v="25.917000000000002"/>
    <x v="0"/>
    <x v="0"/>
  </r>
  <r>
    <n v="47"/>
    <x v="1"/>
    <x v="1"/>
    <x v="1"/>
    <x v="1"/>
    <n v="30.568000000000001"/>
    <x v="3"/>
    <x v="0"/>
  </r>
  <r>
    <n v="48"/>
    <x v="1"/>
    <x v="0"/>
    <x v="1"/>
    <x v="0"/>
    <n v="15.036"/>
    <x v="1"/>
    <x v="0"/>
  </r>
  <r>
    <n v="33"/>
    <x v="3"/>
    <x v="0"/>
    <x v="1"/>
    <x v="0"/>
    <n v="33.485999999999997"/>
    <x v="3"/>
    <x v="0"/>
  </r>
  <r>
    <n v="28"/>
    <x v="0"/>
    <x v="0"/>
    <x v="0"/>
    <x v="1"/>
    <n v="18.809000000000001"/>
    <x v="1"/>
    <x v="0"/>
  </r>
  <r>
    <n v="31"/>
    <x v="3"/>
    <x v="1"/>
    <x v="0"/>
    <x v="0"/>
    <n v="30.366"/>
    <x v="3"/>
    <x v="0"/>
  </r>
  <r>
    <n v="49"/>
    <x v="1"/>
    <x v="0"/>
    <x v="2"/>
    <x v="1"/>
    <n v="9.3810000000000002"/>
    <x v="2"/>
    <x v="2"/>
  </r>
  <r>
    <n v="39"/>
    <x v="3"/>
    <x v="0"/>
    <x v="1"/>
    <x v="1"/>
    <n v="22.696999999999999"/>
    <x v="0"/>
    <x v="0"/>
  </r>
  <r>
    <n v="45"/>
    <x v="1"/>
    <x v="1"/>
    <x v="1"/>
    <x v="0"/>
    <n v="17.951000000000001"/>
    <x v="1"/>
    <x v="0"/>
  </r>
  <r>
    <n v="18"/>
    <x v="6"/>
    <x v="0"/>
    <x v="2"/>
    <x v="1"/>
    <n v="8.75"/>
    <x v="2"/>
    <x v="2"/>
  </r>
  <r>
    <n v="74"/>
    <x v="4"/>
    <x v="1"/>
    <x v="0"/>
    <x v="0"/>
    <n v="9.5670000000000002"/>
    <x v="2"/>
    <x v="4"/>
  </r>
  <r>
    <n v="49"/>
    <x v="1"/>
    <x v="1"/>
    <x v="1"/>
    <x v="1"/>
    <n v="11.013999999999999"/>
    <x v="1"/>
    <x v="2"/>
  </r>
  <r>
    <n v="65"/>
    <x v="2"/>
    <x v="0"/>
    <x v="0"/>
    <x v="1"/>
    <n v="31.876000000000001"/>
    <x v="3"/>
    <x v="0"/>
  </r>
  <r>
    <n v="53"/>
    <x v="5"/>
    <x v="1"/>
    <x v="2"/>
    <x v="0"/>
    <n v="14.132999999999999"/>
    <x v="1"/>
    <x v="2"/>
  </r>
  <r>
    <n v="46"/>
    <x v="1"/>
    <x v="1"/>
    <x v="2"/>
    <x v="1"/>
    <n v="7.2850000000000001"/>
    <x v="2"/>
    <x v="2"/>
  </r>
  <r>
    <n v="32"/>
    <x v="3"/>
    <x v="1"/>
    <x v="0"/>
    <x v="1"/>
    <n v="9.4450000000000003"/>
    <x v="2"/>
    <x v="3"/>
  </r>
  <r>
    <n v="39"/>
    <x v="3"/>
    <x v="1"/>
    <x v="1"/>
    <x v="1"/>
    <n v="13.938000000000001"/>
    <x v="1"/>
    <x v="2"/>
  </r>
  <r>
    <n v="39"/>
    <x v="3"/>
    <x v="0"/>
    <x v="2"/>
    <x v="1"/>
    <n v="9.7089999999999996"/>
    <x v="2"/>
    <x v="2"/>
  </r>
  <r>
    <n v="15"/>
    <x v="6"/>
    <x v="1"/>
    <x v="2"/>
    <x v="0"/>
    <n v="9.0839999999999996"/>
    <x v="2"/>
    <x v="2"/>
  </r>
  <r>
    <n v="73"/>
    <x v="4"/>
    <x v="0"/>
    <x v="2"/>
    <x v="0"/>
    <n v="19.221"/>
    <x v="1"/>
    <x v="0"/>
  </r>
  <r>
    <n v="58"/>
    <x v="5"/>
    <x v="0"/>
    <x v="0"/>
    <x v="1"/>
    <n v="14.239000000000001"/>
    <x v="1"/>
    <x v="4"/>
  </r>
  <r>
    <n v="50"/>
    <x v="5"/>
    <x v="1"/>
    <x v="2"/>
    <x v="1"/>
    <n v="15.79"/>
    <x v="1"/>
    <x v="0"/>
  </r>
  <r>
    <n v="23"/>
    <x v="0"/>
    <x v="1"/>
    <x v="2"/>
    <x v="0"/>
    <n v="12.26"/>
    <x v="1"/>
    <x v="2"/>
  </r>
  <r>
    <n v="50"/>
    <x v="5"/>
    <x v="0"/>
    <x v="2"/>
    <x v="1"/>
    <n v="12.295"/>
    <x v="1"/>
    <x v="2"/>
  </r>
  <r>
    <n v="66"/>
    <x v="2"/>
    <x v="0"/>
    <x v="2"/>
    <x v="1"/>
    <n v="8.1069999999999993"/>
    <x v="2"/>
    <x v="2"/>
  </r>
  <r>
    <n v="37"/>
    <x v="3"/>
    <x v="0"/>
    <x v="0"/>
    <x v="0"/>
    <n v="13.090999999999999"/>
    <x v="1"/>
    <x v="3"/>
  </r>
  <r>
    <n v="68"/>
    <x v="2"/>
    <x v="1"/>
    <x v="1"/>
    <x v="0"/>
    <n v="10.291"/>
    <x v="1"/>
    <x v="1"/>
  </r>
  <r>
    <n v="23"/>
    <x v="0"/>
    <x v="1"/>
    <x v="2"/>
    <x v="0"/>
    <n v="31.686"/>
    <x v="3"/>
    <x v="0"/>
  </r>
  <r>
    <n v="28"/>
    <x v="0"/>
    <x v="0"/>
    <x v="1"/>
    <x v="0"/>
    <n v="19.795999999999999"/>
    <x v="1"/>
    <x v="0"/>
  </r>
  <r>
    <n v="58"/>
    <x v="5"/>
    <x v="0"/>
    <x v="0"/>
    <x v="0"/>
    <n v="19.416"/>
    <x v="1"/>
    <x v="0"/>
  </r>
  <r>
    <n v="67"/>
    <x v="2"/>
    <x v="1"/>
    <x v="2"/>
    <x v="1"/>
    <n v="10.898"/>
    <x v="1"/>
    <x v="2"/>
  </r>
  <r>
    <n v="62"/>
    <x v="2"/>
    <x v="1"/>
    <x v="1"/>
    <x v="1"/>
    <n v="27.183"/>
    <x v="0"/>
    <x v="0"/>
  </r>
  <r>
    <n v="24"/>
    <x v="0"/>
    <x v="0"/>
    <x v="0"/>
    <x v="1"/>
    <n v="18.457000000000001"/>
    <x v="1"/>
    <x v="0"/>
  </r>
  <r>
    <n v="68"/>
    <x v="2"/>
    <x v="0"/>
    <x v="0"/>
    <x v="1"/>
    <n v="10.189"/>
    <x v="1"/>
    <x v="4"/>
  </r>
  <r>
    <n v="26"/>
    <x v="0"/>
    <x v="0"/>
    <x v="1"/>
    <x v="0"/>
    <n v="14.16"/>
    <x v="1"/>
    <x v="1"/>
  </r>
  <r>
    <n v="65"/>
    <x v="2"/>
    <x v="1"/>
    <x v="0"/>
    <x v="1"/>
    <n v="11.34"/>
    <x v="1"/>
    <x v="4"/>
  </r>
  <r>
    <n v="40"/>
    <x v="1"/>
    <x v="1"/>
    <x v="0"/>
    <x v="0"/>
    <n v="27.826000000000001"/>
    <x v="0"/>
    <x v="0"/>
  </r>
  <r>
    <n v="60"/>
    <x v="2"/>
    <x v="1"/>
    <x v="2"/>
    <x v="1"/>
    <n v="10.090999999999999"/>
    <x v="1"/>
    <x v="2"/>
  </r>
  <r>
    <n v="34"/>
    <x v="3"/>
    <x v="1"/>
    <x v="0"/>
    <x v="0"/>
    <n v="18.702999999999999"/>
    <x v="1"/>
    <x v="0"/>
  </r>
  <r>
    <n v="38"/>
    <x v="3"/>
    <x v="0"/>
    <x v="1"/>
    <x v="1"/>
    <n v="29.875"/>
    <x v="0"/>
    <x v="0"/>
  </r>
  <r>
    <n v="24"/>
    <x v="0"/>
    <x v="1"/>
    <x v="0"/>
    <x v="1"/>
    <n v="9.4749999999999996"/>
    <x v="2"/>
    <x v="3"/>
  </r>
  <r>
    <n v="67"/>
    <x v="2"/>
    <x v="1"/>
    <x v="1"/>
    <x v="1"/>
    <n v="20.693000000000001"/>
    <x v="0"/>
    <x v="0"/>
  </r>
  <r>
    <n v="45"/>
    <x v="1"/>
    <x v="1"/>
    <x v="1"/>
    <x v="1"/>
    <n v="8.3699999999999992"/>
    <x v="2"/>
    <x v="2"/>
  </r>
  <r>
    <n v="60"/>
    <x v="2"/>
    <x v="0"/>
    <x v="0"/>
    <x v="0"/>
    <n v="13.303000000000001"/>
    <x v="1"/>
    <x v="4"/>
  </r>
  <r>
    <n v="68"/>
    <x v="2"/>
    <x v="0"/>
    <x v="2"/>
    <x v="1"/>
    <n v="27.05"/>
    <x v="0"/>
    <x v="0"/>
  </r>
  <r>
    <n v="29"/>
    <x v="0"/>
    <x v="1"/>
    <x v="0"/>
    <x v="0"/>
    <n v="12.856"/>
    <x v="1"/>
    <x v="3"/>
  </r>
  <r>
    <n v="17"/>
    <x v="6"/>
    <x v="1"/>
    <x v="2"/>
    <x v="1"/>
    <n v="10.832000000000001"/>
    <x v="1"/>
    <x v="2"/>
  </r>
  <r>
    <n v="54"/>
    <x v="5"/>
    <x v="1"/>
    <x v="2"/>
    <x v="0"/>
    <n v="24.658000000000001"/>
    <x v="0"/>
    <x v="0"/>
  </r>
  <r>
    <n v="18"/>
    <x v="6"/>
    <x v="0"/>
    <x v="0"/>
    <x v="1"/>
    <n v="24.276"/>
    <x v="0"/>
    <x v="0"/>
  </r>
  <r>
    <n v="70"/>
    <x v="4"/>
    <x v="1"/>
    <x v="0"/>
    <x v="0"/>
    <n v="13.967000000000001"/>
    <x v="1"/>
    <x v="4"/>
  </r>
  <r>
    <n v="28"/>
    <x v="0"/>
    <x v="0"/>
    <x v="2"/>
    <x v="0"/>
    <n v="19.675000000000001"/>
    <x v="1"/>
    <x v="0"/>
  </r>
  <r>
    <n v="24"/>
    <x v="0"/>
    <x v="0"/>
    <x v="2"/>
    <x v="0"/>
    <n v="10.605"/>
    <x v="1"/>
    <x v="2"/>
  </r>
  <r>
    <n v="41"/>
    <x v="1"/>
    <x v="0"/>
    <x v="2"/>
    <x v="1"/>
    <n v="22.905000000000001"/>
    <x v="0"/>
    <x v="0"/>
  </r>
  <r>
    <n v="31"/>
    <x v="3"/>
    <x v="1"/>
    <x v="0"/>
    <x v="1"/>
    <n v="17.068999999999999"/>
    <x v="1"/>
    <x v="0"/>
  </r>
  <r>
    <n v="26"/>
    <x v="0"/>
    <x v="1"/>
    <x v="1"/>
    <x v="1"/>
    <n v="20.908999999999999"/>
    <x v="0"/>
    <x v="0"/>
  </r>
  <r>
    <n v="36"/>
    <x v="3"/>
    <x v="0"/>
    <x v="0"/>
    <x v="0"/>
    <n v="11.198"/>
    <x v="1"/>
    <x v="3"/>
  </r>
  <r>
    <n v="26"/>
    <x v="0"/>
    <x v="0"/>
    <x v="0"/>
    <x v="1"/>
    <n v="19.161000000000001"/>
    <x v="1"/>
    <x v="0"/>
  </r>
  <r>
    <n v="19"/>
    <x v="6"/>
    <x v="0"/>
    <x v="0"/>
    <x v="0"/>
    <n v="13.313000000000001"/>
    <x v="1"/>
    <x v="3"/>
  </r>
  <r>
    <n v="32"/>
    <x v="3"/>
    <x v="0"/>
    <x v="1"/>
    <x v="1"/>
    <n v="10.84"/>
    <x v="1"/>
    <x v="2"/>
  </r>
  <r>
    <n v="60"/>
    <x v="2"/>
    <x v="1"/>
    <x v="0"/>
    <x v="0"/>
    <n v="13.933999999999999"/>
    <x v="1"/>
    <x v="4"/>
  </r>
  <r>
    <n v="64"/>
    <x v="2"/>
    <x v="1"/>
    <x v="2"/>
    <x v="0"/>
    <n v="7.7610000000000001"/>
    <x v="2"/>
    <x v="2"/>
  </r>
  <r>
    <n v="32"/>
    <x v="3"/>
    <x v="0"/>
    <x v="1"/>
    <x v="0"/>
    <n v="9.7119999999999997"/>
    <x v="2"/>
    <x v="1"/>
  </r>
  <r>
    <n v="38"/>
    <x v="3"/>
    <x v="0"/>
    <x v="0"/>
    <x v="1"/>
    <n v="11.326000000000001"/>
    <x v="1"/>
    <x v="3"/>
  </r>
  <r>
    <n v="47"/>
    <x v="1"/>
    <x v="0"/>
    <x v="1"/>
    <x v="0"/>
    <n v="10.067"/>
    <x v="1"/>
    <x v="1"/>
  </r>
  <r>
    <n v="59"/>
    <x v="5"/>
    <x v="1"/>
    <x v="0"/>
    <x v="0"/>
    <n v="13.935"/>
    <x v="1"/>
    <x v="4"/>
  </r>
  <r>
    <n v="51"/>
    <x v="5"/>
    <x v="0"/>
    <x v="2"/>
    <x v="0"/>
    <n v="13.597"/>
    <x v="1"/>
    <x v="2"/>
  </r>
  <r>
    <n v="69"/>
    <x v="2"/>
    <x v="1"/>
    <x v="1"/>
    <x v="0"/>
    <n v="15.478"/>
    <x v="1"/>
    <x v="0"/>
  </r>
  <r>
    <n v="37"/>
    <x v="3"/>
    <x v="0"/>
    <x v="0"/>
    <x v="1"/>
    <n v="23.091000000000001"/>
    <x v="0"/>
    <x v="0"/>
  </r>
  <r>
    <n v="50"/>
    <x v="5"/>
    <x v="0"/>
    <x v="2"/>
    <x v="1"/>
    <n v="17.210999999999999"/>
    <x v="1"/>
    <x v="0"/>
  </r>
  <r>
    <n v="62"/>
    <x v="2"/>
    <x v="1"/>
    <x v="2"/>
    <x v="0"/>
    <n v="16.594000000000001"/>
    <x v="1"/>
    <x v="0"/>
  </r>
  <r>
    <n v="41"/>
    <x v="1"/>
    <x v="1"/>
    <x v="0"/>
    <x v="1"/>
    <n v="15.156000000000001"/>
    <x v="1"/>
    <x v="0"/>
  </r>
  <r>
    <n v="29"/>
    <x v="0"/>
    <x v="0"/>
    <x v="0"/>
    <x v="0"/>
    <n v="29.45"/>
    <x v="0"/>
    <x v="0"/>
  </r>
  <r>
    <n v="42"/>
    <x v="1"/>
    <x v="0"/>
    <x v="1"/>
    <x v="1"/>
    <n v="29.271000000000001"/>
    <x v="0"/>
    <x v="0"/>
  </r>
  <r>
    <n v="56"/>
    <x v="5"/>
    <x v="1"/>
    <x v="1"/>
    <x v="0"/>
    <n v="15.015000000000001"/>
    <x v="1"/>
    <x v="0"/>
  </r>
  <r>
    <n v="36"/>
    <x v="3"/>
    <x v="1"/>
    <x v="1"/>
    <x v="1"/>
    <n v="11.423999999999999"/>
    <x v="1"/>
    <x v="2"/>
  </r>
  <r>
    <n v="58"/>
    <x v="5"/>
    <x v="0"/>
    <x v="1"/>
    <x v="0"/>
    <n v="38.247"/>
    <x v="3"/>
    <x v="0"/>
  </r>
  <r>
    <n v="56"/>
    <x v="5"/>
    <x v="0"/>
    <x v="0"/>
    <x v="0"/>
    <n v="25.395"/>
    <x v="0"/>
    <x v="0"/>
  </r>
  <r>
    <n v="20"/>
    <x v="0"/>
    <x v="1"/>
    <x v="0"/>
    <x v="1"/>
    <n v="35.639000000000003"/>
    <x v="3"/>
    <x v="0"/>
  </r>
  <r>
    <n v="15"/>
    <x v="6"/>
    <x v="0"/>
    <x v="0"/>
    <x v="1"/>
    <n v="16.725000000000001"/>
    <x v="1"/>
    <x v="0"/>
  </r>
  <r>
    <n v="31"/>
    <x v="3"/>
    <x v="1"/>
    <x v="0"/>
    <x v="1"/>
    <n v="11.871"/>
    <x v="1"/>
    <x v="3"/>
  </r>
  <r>
    <n v="45"/>
    <x v="1"/>
    <x v="0"/>
    <x v="0"/>
    <x v="0"/>
    <n v="12.853999999999999"/>
    <x v="1"/>
    <x v="3"/>
  </r>
  <r>
    <n v="28"/>
    <x v="0"/>
    <x v="0"/>
    <x v="1"/>
    <x v="0"/>
    <n v="13.127000000000001"/>
    <x v="1"/>
    <x v="1"/>
  </r>
  <r>
    <n v="56"/>
    <x v="5"/>
    <x v="1"/>
    <x v="2"/>
    <x v="0"/>
    <n v="8.9659999999999993"/>
    <x v="2"/>
    <x v="2"/>
  </r>
  <r>
    <n v="22"/>
    <x v="0"/>
    <x v="1"/>
    <x v="0"/>
    <x v="1"/>
    <n v="28.294"/>
    <x v="0"/>
    <x v="0"/>
  </r>
  <r>
    <n v="37"/>
    <x v="3"/>
    <x v="1"/>
    <x v="1"/>
    <x v="1"/>
    <n v="8.968"/>
    <x v="2"/>
    <x v="2"/>
  </r>
  <r>
    <n v="22"/>
    <x v="0"/>
    <x v="1"/>
    <x v="2"/>
    <x v="0"/>
    <n v="11.952999999999999"/>
    <x v="1"/>
    <x v="2"/>
  </r>
  <r>
    <n v="42"/>
    <x v="1"/>
    <x v="1"/>
    <x v="1"/>
    <x v="0"/>
    <n v="20.013000000000002"/>
    <x v="0"/>
    <x v="0"/>
  </r>
  <r>
    <n v="72"/>
    <x v="4"/>
    <x v="1"/>
    <x v="0"/>
    <x v="1"/>
    <n v="9.6769999999999996"/>
    <x v="2"/>
    <x v="4"/>
  </r>
  <r>
    <n v="23"/>
    <x v="0"/>
    <x v="1"/>
    <x v="2"/>
    <x v="0"/>
    <n v="16.850000000000001"/>
    <x v="1"/>
    <x v="0"/>
  </r>
  <r>
    <n v="50"/>
    <x v="5"/>
    <x v="1"/>
    <x v="0"/>
    <x v="0"/>
    <n v="7.49"/>
    <x v="2"/>
    <x v="3"/>
  </r>
  <r>
    <n v="47"/>
    <x v="1"/>
    <x v="0"/>
    <x v="2"/>
    <x v="1"/>
    <n v="6.6829999999999998"/>
    <x v="2"/>
    <x v="2"/>
  </r>
  <r>
    <n v="35"/>
    <x v="3"/>
    <x v="1"/>
    <x v="1"/>
    <x v="1"/>
    <n v="9.17"/>
    <x v="2"/>
    <x v="2"/>
  </r>
  <r>
    <n v="65"/>
    <x v="2"/>
    <x v="0"/>
    <x v="1"/>
    <x v="1"/>
    <n v="13.769"/>
    <x v="1"/>
    <x v="2"/>
  </r>
  <r>
    <n v="20"/>
    <x v="0"/>
    <x v="0"/>
    <x v="2"/>
    <x v="1"/>
    <n v="9.2810000000000006"/>
    <x v="2"/>
    <x v="2"/>
  </r>
  <r>
    <n v="51"/>
    <x v="5"/>
    <x v="1"/>
    <x v="0"/>
    <x v="0"/>
    <n v="18.295000000000002"/>
    <x v="1"/>
    <x v="0"/>
  </r>
  <r>
    <n v="67"/>
    <x v="2"/>
    <x v="1"/>
    <x v="2"/>
    <x v="1"/>
    <n v="9.5139999999999993"/>
    <x v="2"/>
    <x v="2"/>
  </r>
  <r>
    <n v="40"/>
    <x v="1"/>
    <x v="0"/>
    <x v="2"/>
    <x v="0"/>
    <n v="10.103"/>
    <x v="1"/>
    <x v="2"/>
  </r>
  <r>
    <n v="32"/>
    <x v="3"/>
    <x v="0"/>
    <x v="0"/>
    <x v="1"/>
    <n v="10.292"/>
    <x v="1"/>
    <x v="3"/>
  </r>
  <r>
    <n v="61"/>
    <x v="2"/>
    <x v="0"/>
    <x v="0"/>
    <x v="0"/>
    <n v="25.475000000000001"/>
    <x v="0"/>
    <x v="0"/>
  </r>
  <r>
    <n v="28"/>
    <x v="0"/>
    <x v="1"/>
    <x v="2"/>
    <x v="0"/>
    <n v="27.064"/>
    <x v="0"/>
    <x v="0"/>
  </r>
  <r>
    <n v="15"/>
    <x v="6"/>
    <x v="1"/>
    <x v="0"/>
    <x v="1"/>
    <n v="17.206"/>
    <x v="1"/>
    <x v="0"/>
  </r>
  <r>
    <n v="34"/>
    <x v="3"/>
    <x v="1"/>
    <x v="2"/>
    <x v="0"/>
    <n v="22.456"/>
    <x v="0"/>
    <x v="0"/>
  </r>
  <r>
    <n v="36"/>
    <x v="3"/>
    <x v="0"/>
    <x v="2"/>
    <x v="0"/>
    <n v="16.753"/>
    <x v="1"/>
    <x v="0"/>
  </r>
  <r>
    <n v="53"/>
    <x v="5"/>
    <x v="0"/>
    <x v="0"/>
    <x v="1"/>
    <n v="12.494999999999999"/>
    <x v="1"/>
    <x v="4"/>
  </r>
  <r>
    <n v="19"/>
    <x v="6"/>
    <x v="0"/>
    <x v="0"/>
    <x v="1"/>
    <n v="25.969000000000001"/>
    <x v="0"/>
    <x v="0"/>
  </r>
  <r>
    <n v="66"/>
    <x v="2"/>
    <x v="1"/>
    <x v="0"/>
    <x v="0"/>
    <n v="16.347000000000001"/>
    <x v="1"/>
    <x v="0"/>
  </r>
  <r>
    <n v="35"/>
    <x v="3"/>
    <x v="1"/>
    <x v="2"/>
    <x v="1"/>
    <n v="7.8449999999999998"/>
    <x v="2"/>
    <x v="2"/>
  </r>
  <r>
    <n v="47"/>
    <x v="1"/>
    <x v="1"/>
    <x v="1"/>
    <x v="1"/>
    <n v="33.542000000000002"/>
    <x v="3"/>
    <x v="0"/>
  </r>
  <r>
    <n v="32"/>
    <x v="3"/>
    <x v="0"/>
    <x v="2"/>
    <x v="0"/>
    <n v="7.4770000000000003"/>
    <x v="2"/>
    <x v="2"/>
  </r>
  <r>
    <n v="70"/>
    <x v="4"/>
    <x v="0"/>
    <x v="2"/>
    <x v="0"/>
    <n v="20.489000000000001"/>
    <x v="0"/>
    <x v="0"/>
  </r>
  <r>
    <n v="52"/>
    <x v="5"/>
    <x v="1"/>
    <x v="1"/>
    <x v="1"/>
    <n v="32.921999999999997"/>
    <x v="3"/>
    <x v="0"/>
  </r>
  <r>
    <n v="49"/>
    <x v="1"/>
    <x v="1"/>
    <x v="1"/>
    <x v="1"/>
    <n v="13.598000000000001"/>
    <x v="1"/>
    <x v="2"/>
  </r>
  <r>
    <n v="24"/>
    <x v="0"/>
    <x v="1"/>
    <x v="2"/>
    <x v="0"/>
    <n v="25.786000000000001"/>
    <x v="0"/>
    <x v="0"/>
  </r>
  <r>
    <n v="42"/>
    <x v="1"/>
    <x v="0"/>
    <x v="0"/>
    <x v="0"/>
    <n v="21.036000000000001"/>
    <x v="0"/>
    <x v="0"/>
  </r>
  <r>
    <n v="74"/>
    <x v="4"/>
    <x v="1"/>
    <x v="1"/>
    <x v="1"/>
    <n v="11.939"/>
    <x v="1"/>
    <x v="2"/>
  </r>
  <r>
    <n v="55"/>
    <x v="5"/>
    <x v="0"/>
    <x v="0"/>
    <x v="0"/>
    <n v="10.977"/>
    <x v="1"/>
    <x v="4"/>
  </r>
  <r>
    <n v="35"/>
    <x v="3"/>
    <x v="0"/>
    <x v="0"/>
    <x v="0"/>
    <n v="12.894"/>
    <x v="1"/>
    <x v="3"/>
  </r>
  <r>
    <n v="51"/>
    <x v="5"/>
    <x v="1"/>
    <x v="0"/>
    <x v="1"/>
    <n v="11.343"/>
    <x v="1"/>
    <x v="4"/>
  </r>
  <r>
    <n v="69"/>
    <x v="2"/>
    <x v="0"/>
    <x v="2"/>
    <x v="0"/>
    <n v="10.065"/>
    <x v="1"/>
    <x v="2"/>
  </r>
  <r>
    <n v="49"/>
    <x v="1"/>
    <x v="1"/>
    <x v="0"/>
    <x v="1"/>
    <n v="6.2690000000000001"/>
    <x v="2"/>
    <x v="3"/>
  </r>
  <r>
    <n v="64"/>
    <x v="2"/>
    <x v="0"/>
    <x v="1"/>
    <x v="1"/>
    <n v="25.741"/>
    <x v="0"/>
    <x v="0"/>
  </r>
  <r>
    <n v="60"/>
    <x v="2"/>
    <x v="1"/>
    <x v="0"/>
    <x v="1"/>
    <n v="8.6210000000000004"/>
    <x v="2"/>
    <x v="4"/>
  </r>
  <r>
    <n v="74"/>
    <x v="4"/>
    <x v="1"/>
    <x v="0"/>
    <x v="1"/>
    <n v="15.436"/>
    <x v="1"/>
    <x v="0"/>
  </r>
  <r>
    <n v="39"/>
    <x v="3"/>
    <x v="1"/>
    <x v="0"/>
    <x v="0"/>
    <n v="9.6639999999999997"/>
    <x v="2"/>
    <x v="3"/>
  </r>
  <r>
    <n v="61"/>
    <x v="2"/>
    <x v="1"/>
    <x v="2"/>
    <x v="0"/>
    <n v="9.4429999999999996"/>
    <x v="2"/>
    <x v="2"/>
  </r>
  <r>
    <n v="37"/>
    <x v="3"/>
    <x v="0"/>
    <x v="1"/>
    <x v="1"/>
    <n v="12.006"/>
    <x v="1"/>
    <x v="2"/>
  </r>
  <r>
    <n v="26"/>
    <x v="0"/>
    <x v="0"/>
    <x v="0"/>
    <x v="1"/>
    <n v="12.307"/>
    <x v="1"/>
    <x v="3"/>
  </r>
  <r>
    <n v="61"/>
    <x v="2"/>
    <x v="0"/>
    <x v="1"/>
    <x v="1"/>
    <n v="7.34"/>
    <x v="2"/>
    <x v="2"/>
  </r>
  <r>
    <n v="22"/>
    <x v="0"/>
    <x v="1"/>
    <x v="1"/>
    <x v="0"/>
    <n v="8.1509999999999998"/>
    <x v="2"/>
    <x v="1"/>
  </r>
  <r>
    <n v="49"/>
    <x v="1"/>
    <x v="1"/>
    <x v="0"/>
    <x v="1"/>
    <n v="8.6999999999999993"/>
    <x v="2"/>
    <x v="3"/>
  </r>
  <r>
    <n v="68"/>
    <x v="2"/>
    <x v="1"/>
    <x v="0"/>
    <x v="0"/>
    <n v="11.009"/>
    <x v="1"/>
    <x v="4"/>
  </r>
  <r>
    <n v="55"/>
    <x v="5"/>
    <x v="1"/>
    <x v="2"/>
    <x v="1"/>
    <n v="7.2610000000000001"/>
    <x v="2"/>
    <x v="2"/>
  </r>
  <r>
    <n v="72"/>
    <x v="4"/>
    <x v="0"/>
    <x v="1"/>
    <x v="1"/>
    <n v="14.641999999999999"/>
    <x v="1"/>
    <x v="2"/>
  </r>
  <r>
    <n v="37"/>
    <x v="3"/>
    <x v="1"/>
    <x v="1"/>
    <x v="1"/>
    <n v="16.724"/>
    <x v="1"/>
    <x v="0"/>
  </r>
  <r>
    <n v="49"/>
    <x v="1"/>
    <x v="1"/>
    <x v="1"/>
    <x v="0"/>
    <n v="10.537000000000001"/>
    <x v="1"/>
    <x v="1"/>
  </r>
  <r>
    <n v="31"/>
    <x v="3"/>
    <x v="1"/>
    <x v="0"/>
    <x v="1"/>
    <n v="11.227"/>
    <x v="1"/>
    <x v="3"/>
  </r>
  <r>
    <n v="53"/>
    <x v="5"/>
    <x v="1"/>
    <x v="1"/>
    <x v="0"/>
    <n v="22.963000000000001"/>
    <x v="0"/>
    <x v="0"/>
  </r>
  <r>
    <n v="59"/>
    <x v="5"/>
    <x v="0"/>
    <x v="1"/>
    <x v="0"/>
    <n v="10.444000000000001"/>
    <x v="1"/>
    <x v="1"/>
  </r>
  <r>
    <n v="34"/>
    <x v="3"/>
    <x v="0"/>
    <x v="1"/>
    <x v="1"/>
    <n v="12.923"/>
    <x v="1"/>
    <x v="2"/>
  </r>
  <r>
    <n v="30"/>
    <x v="3"/>
    <x v="0"/>
    <x v="2"/>
    <x v="0"/>
    <n v="10.443"/>
    <x v="1"/>
    <x v="2"/>
  </r>
  <r>
    <n v="57"/>
    <x v="5"/>
    <x v="0"/>
    <x v="0"/>
    <x v="1"/>
    <n v="9.9450000000000003"/>
    <x v="2"/>
    <x v="4"/>
  </r>
  <r>
    <n v="43"/>
    <x v="1"/>
    <x v="1"/>
    <x v="2"/>
    <x v="1"/>
    <n v="12.859"/>
    <x v="1"/>
    <x v="2"/>
  </r>
  <r>
    <n v="21"/>
    <x v="0"/>
    <x v="0"/>
    <x v="0"/>
    <x v="1"/>
    <n v="28.632000000000001"/>
    <x v="0"/>
    <x v="0"/>
  </r>
  <r>
    <n v="16"/>
    <x v="6"/>
    <x v="1"/>
    <x v="0"/>
    <x v="1"/>
    <n v="19.007000000000001"/>
    <x v="1"/>
    <x v="0"/>
  </r>
  <r>
    <n v="38"/>
    <x v="3"/>
    <x v="1"/>
    <x v="1"/>
    <x v="0"/>
    <n v="18.295000000000002"/>
    <x v="1"/>
    <x v="0"/>
  </r>
  <r>
    <n v="58"/>
    <x v="5"/>
    <x v="0"/>
    <x v="1"/>
    <x v="0"/>
    <n v="26.645"/>
    <x v="0"/>
    <x v="0"/>
  </r>
  <r>
    <n v="57"/>
    <x v="5"/>
    <x v="0"/>
    <x v="2"/>
    <x v="0"/>
    <n v="14.215999999999999"/>
    <x v="1"/>
    <x v="2"/>
  </r>
  <r>
    <n v="51"/>
    <x v="5"/>
    <x v="0"/>
    <x v="1"/>
    <x v="1"/>
    <n v="23.003"/>
    <x v="0"/>
    <x v="0"/>
  </r>
  <r>
    <n v="20"/>
    <x v="0"/>
    <x v="0"/>
    <x v="0"/>
    <x v="0"/>
    <n v="11.262"/>
    <x v="1"/>
    <x v="3"/>
  </r>
  <r>
    <n v="28"/>
    <x v="0"/>
    <x v="0"/>
    <x v="2"/>
    <x v="0"/>
    <n v="12.879"/>
    <x v="1"/>
    <x v="2"/>
  </r>
  <r>
    <n v="45"/>
    <x v="1"/>
    <x v="1"/>
    <x v="1"/>
    <x v="1"/>
    <n v="10.016999999999999"/>
    <x v="1"/>
    <x v="2"/>
  </r>
  <r>
    <n v="39"/>
    <x v="3"/>
    <x v="0"/>
    <x v="2"/>
    <x v="1"/>
    <n v="17.225000000000001"/>
    <x v="1"/>
    <x v="0"/>
  </r>
  <r>
    <n v="41"/>
    <x v="1"/>
    <x v="0"/>
    <x v="1"/>
    <x v="1"/>
    <n v="18.739000000000001"/>
    <x v="1"/>
    <x v="0"/>
  </r>
  <r>
    <n v="42"/>
    <x v="1"/>
    <x v="1"/>
    <x v="0"/>
    <x v="1"/>
    <n v="12.766"/>
    <x v="1"/>
    <x v="3"/>
  </r>
  <r>
    <n v="73"/>
    <x v="4"/>
    <x v="0"/>
    <x v="0"/>
    <x v="0"/>
    <n v="18.347999999999999"/>
    <x v="1"/>
    <x v="0"/>
  </r>
  <r>
    <n v="48"/>
    <x v="1"/>
    <x v="1"/>
    <x v="0"/>
    <x v="1"/>
    <n v="10.446"/>
    <x v="1"/>
    <x v="3"/>
  </r>
  <r>
    <n v="25"/>
    <x v="0"/>
    <x v="1"/>
    <x v="2"/>
    <x v="0"/>
    <n v="19.010999999999999"/>
    <x v="1"/>
    <x v="0"/>
  </r>
  <r>
    <n v="39"/>
    <x v="3"/>
    <x v="1"/>
    <x v="2"/>
    <x v="0"/>
    <n v="15.968999999999999"/>
    <x v="1"/>
    <x v="0"/>
  </r>
  <r>
    <n v="67"/>
    <x v="2"/>
    <x v="0"/>
    <x v="2"/>
    <x v="0"/>
    <n v="15.891"/>
    <x v="1"/>
    <x v="0"/>
  </r>
  <r>
    <n v="22"/>
    <x v="0"/>
    <x v="0"/>
    <x v="0"/>
    <x v="1"/>
    <n v="22.818000000000001"/>
    <x v="0"/>
    <x v="0"/>
  </r>
  <r>
    <n v="59"/>
    <x v="5"/>
    <x v="0"/>
    <x v="2"/>
    <x v="0"/>
    <n v="13.884"/>
    <x v="1"/>
    <x v="2"/>
  </r>
  <r>
    <n v="20"/>
    <x v="0"/>
    <x v="0"/>
    <x v="1"/>
    <x v="1"/>
    <n v="11.686"/>
    <x v="1"/>
    <x v="2"/>
  </r>
  <r>
    <n v="36"/>
    <x v="3"/>
    <x v="0"/>
    <x v="0"/>
    <x v="1"/>
    <n v="15.49"/>
    <x v="1"/>
    <x v="0"/>
  </r>
  <r>
    <n v="18"/>
    <x v="6"/>
    <x v="0"/>
    <x v="0"/>
    <x v="0"/>
    <n v="37.188000000000002"/>
    <x v="3"/>
    <x v="0"/>
  </r>
  <r>
    <n v="57"/>
    <x v="5"/>
    <x v="0"/>
    <x v="2"/>
    <x v="1"/>
    <n v="25.893000000000001"/>
    <x v="0"/>
    <x v="0"/>
  </r>
  <r>
    <n v="70"/>
    <x v="4"/>
    <x v="1"/>
    <x v="0"/>
    <x v="0"/>
    <n v="9.8490000000000002"/>
    <x v="2"/>
    <x v="4"/>
  </r>
  <r>
    <n v="47"/>
    <x v="1"/>
    <x v="1"/>
    <x v="0"/>
    <x v="0"/>
    <n v="10.403"/>
    <x v="1"/>
    <x v="3"/>
  </r>
  <r>
    <n v="65"/>
    <x v="2"/>
    <x v="1"/>
    <x v="0"/>
    <x v="1"/>
    <n v="34.997"/>
    <x v="3"/>
    <x v="0"/>
  </r>
  <r>
    <n v="64"/>
    <x v="2"/>
    <x v="1"/>
    <x v="0"/>
    <x v="1"/>
    <n v="20.931999999999999"/>
    <x v="0"/>
    <x v="0"/>
  </r>
  <r>
    <n v="58"/>
    <x v="5"/>
    <x v="1"/>
    <x v="0"/>
    <x v="0"/>
    <n v="18.991"/>
    <x v="1"/>
    <x v="0"/>
  </r>
  <r>
    <n v="23"/>
    <x v="0"/>
    <x v="1"/>
    <x v="0"/>
    <x v="0"/>
    <n v="8.0109999999999992"/>
    <x v="2"/>
    <x v="3"/>
  </r>
  <r>
    <n v="72"/>
    <x v="4"/>
    <x v="1"/>
    <x v="1"/>
    <x v="0"/>
    <n v="16.309999999999999"/>
    <x v="1"/>
    <x v="0"/>
  </r>
  <r>
    <n v="72"/>
    <x v="4"/>
    <x v="1"/>
    <x v="1"/>
    <x v="0"/>
    <n v="6.7690000000000001"/>
    <x v="2"/>
    <x v="1"/>
  </r>
  <r>
    <n v="46"/>
    <x v="1"/>
    <x v="0"/>
    <x v="0"/>
    <x v="0"/>
    <n v="34.686"/>
    <x v="3"/>
    <x v="0"/>
  </r>
  <r>
    <n v="56"/>
    <x v="5"/>
    <x v="0"/>
    <x v="1"/>
    <x v="0"/>
    <n v="11.567"/>
    <x v="1"/>
    <x v="1"/>
  </r>
  <r>
    <n v="16"/>
    <x v="6"/>
    <x v="1"/>
    <x v="1"/>
    <x v="0"/>
    <n v="12.006"/>
    <x v="1"/>
    <x v="1"/>
  </r>
  <r>
    <n v="52"/>
    <x v="5"/>
    <x v="1"/>
    <x v="2"/>
    <x v="0"/>
    <n v="9.8940000000000001"/>
    <x v="2"/>
    <x v="2"/>
  </r>
  <r>
    <n v="23"/>
    <x v="0"/>
    <x v="1"/>
    <x v="2"/>
    <x v="1"/>
    <n v="14.02"/>
    <x v="1"/>
    <x v="2"/>
  </r>
  <r>
    <n v="40"/>
    <x v="1"/>
    <x v="0"/>
    <x v="1"/>
    <x v="1"/>
    <n v="11.349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5C95-C104-4D2A-8DBF-715BE2A31A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25:N29" firstHeaderRow="1" firstDataRow="2" firstDataCol="1"/>
  <pivotFields count="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6">
        <item x="3"/>
        <item x="4"/>
        <item x="1"/>
        <item x="2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rug" fld="7" subtotal="count" baseField="0" baseItem="0"/>
  </dataFields>
  <chartFormats count="10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31A9A-81B6-4D38-98EB-5631ADCE28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18:N23" firstHeaderRow="1" firstDataRow="2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dataField="1" showAll="0">
      <items count="6">
        <item x="3"/>
        <item x="4"/>
        <item x="1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rug" fld="7" subtotal="count" baseField="0" baseItem="0"/>
  </dataFields>
  <chartFormats count="2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697D9-7D8F-4CAF-821F-F5D08B45144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1">
  <location ref="H10:N16" firstHeaderRow="1" firstDataRow="2" firstDataCol="1"/>
  <pivotFields count="8">
    <pivotField compact="0" outline="0" showAll="0"/>
    <pivotField compact="0" outline="0" showAll="0">
      <items count="8">
        <item x="0"/>
        <item x="3"/>
        <item x="1"/>
        <item x="5"/>
        <item x="2"/>
        <item x="4"/>
        <item x="6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Col" dataField="1" compact="0" outline="0" showAll="0">
      <items count="6">
        <item x="3"/>
        <item x="4"/>
        <item x="1"/>
        <item x="2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rug" fld="7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A393D-E940-432D-B10F-8037C98DF35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9:D33" firstHeaderRow="1" firstDataRow="2" firstDataCol="1"/>
  <pivotFields count="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holesterol" fld="4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14223-5E79-46F2-9721-D7F4114D3C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9">
  <location ref="A3:F26" firstHeaderRow="1" firstDataRow="2" firstDataCol="2"/>
  <pivotFields count="8">
    <pivotField compact="0" outline="0" showAll="0"/>
    <pivotField axis="axisRow" compact="0" outline="0" showAll="0">
      <items count="8">
        <item x="0"/>
        <item x="3"/>
        <item x="1"/>
        <item x="5"/>
        <item x="2"/>
        <item x="4"/>
        <item x="6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dataField="1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"/>
    <field x="2"/>
  </rowFields>
  <rowItems count="2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BP" fld="3" subtotal="count" baseField="0" baseItem="0"/>
  </dataFields>
  <chartFormats count="9">
    <chartFormat chart="3" format="1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19F8-5869-4775-A562-80F227FF838D}">
  <sheetPr filterMode="1"/>
  <dimension ref="A1:H201"/>
  <sheetViews>
    <sheetView workbookViewId="0">
      <selection activeCell="C1" sqref="C1"/>
    </sheetView>
  </sheetViews>
  <sheetFormatPr defaultRowHeight="14.5" x14ac:dyDescent="0.35"/>
  <cols>
    <col min="2" max="2" width="10.26953125" bestFit="1" customWidth="1"/>
    <col min="7" max="7" width="12.36328125" bestFit="1" customWidth="1"/>
  </cols>
  <sheetData>
    <row r="1" spans="1:8" x14ac:dyDescent="0.3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5</v>
      </c>
    </row>
    <row r="2" spans="1:8" hidden="1" x14ac:dyDescent="0.35">
      <c r="A2">
        <v>23</v>
      </c>
      <c r="B2" t="str">
        <f>IF(A2&gt;69,"70+",IF(A2&gt;59,"60-70",IF(A2&gt;49,"50-60",IF(A2&gt;39,"40-50",IF(A2&gt;29,"30-40",IF(A2&gt;19,"20-30","Minor"))))))</f>
        <v>20-30</v>
      </c>
      <c r="C2" t="s">
        <v>6</v>
      </c>
      <c r="D2" t="s">
        <v>7</v>
      </c>
      <c r="E2" t="s">
        <v>7</v>
      </c>
      <c r="F2">
        <v>25.355</v>
      </c>
      <c r="G2" t="s">
        <v>18</v>
      </c>
      <c r="H2" t="s">
        <v>8</v>
      </c>
    </row>
    <row r="3" spans="1:8" x14ac:dyDescent="0.35">
      <c r="A3">
        <v>47</v>
      </c>
      <c r="B3" t="str">
        <f t="shared" ref="B3:B66" si="0">IF(A3&gt;69,"70+",IF(A3&gt;59,"60-70",IF(A3&gt;49,"50-60",IF(A3&gt;39,"40-50",IF(A3&gt;29,"30-40",IF(A3&gt;19,"20-30","Minor"))))))</f>
        <v>40-50</v>
      </c>
      <c r="C3" t="s">
        <v>9</v>
      </c>
      <c r="D3" t="s">
        <v>10</v>
      </c>
      <c r="E3" t="s">
        <v>7</v>
      </c>
      <c r="F3">
        <v>13.093</v>
      </c>
      <c r="G3" t="s">
        <v>29</v>
      </c>
      <c r="H3" t="s">
        <v>11</v>
      </c>
    </row>
    <row r="4" spans="1:8" x14ac:dyDescent="0.35">
      <c r="A4">
        <v>47</v>
      </c>
      <c r="B4" t="str">
        <f t="shared" si="0"/>
        <v>40-50</v>
      </c>
      <c r="C4" t="s">
        <v>9</v>
      </c>
      <c r="D4" t="s">
        <v>10</v>
      </c>
      <c r="E4" t="s">
        <v>7</v>
      </c>
      <c r="F4">
        <v>10.114000000000001</v>
      </c>
      <c r="G4" t="s">
        <v>29</v>
      </c>
      <c r="H4" t="s">
        <v>11</v>
      </c>
    </row>
    <row r="5" spans="1:8" x14ac:dyDescent="0.35">
      <c r="A5">
        <v>28</v>
      </c>
      <c r="B5" t="str">
        <f t="shared" si="0"/>
        <v>20-30</v>
      </c>
      <c r="C5" t="s">
        <v>6</v>
      </c>
      <c r="D5" t="s">
        <v>12</v>
      </c>
      <c r="E5" t="s">
        <v>7</v>
      </c>
      <c r="F5">
        <v>7.798</v>
      </c>
      <c r="G5" t="s">
        <v>30</v>
      </c>
      <c r="H5" t="s">
        <v>13</v>
      </c>
    </row>
    <row r="6" spans="1:8" hidden="1" x14ac:dyDescent="0.35">
      <c r="A6">
        <v>61</v>
      </c>
      <c r="B6" t="str">
        <f t="shared" si="0"/>
        <v>60-70</v>
      </c>
      <c r="C6" t="s">
        <v>6</v>
      </c>
      <c r="D6" t="s">
        <v>10</v>
      </c>
      <c r="E6" t="s">
        <v>7</v>
      </c>
      <c r="F6">
        <v>18.042999999999999</v>
      </c>
      <c r="G6" t="s">
        <v>29</v>
      </c>
      <c r="H6" t="s">
        <v>8</v>
      </c>
    </row>
    <row r="7" spans="1:8" x14ac:dyDescent="0.35">
      <c r="A7">
        <v>22</v>
      </c>
      <c r="B7" t="str">
        <f t="shared" si="0"/>
        <v>20-30</v>
      </c>
      <c r="C7" t="s">
        <v>6</v>
      </c>
      <c r="D7" t="s">
        <v>12</v>
      </c>
      <c r="E7" t="s">
        <v>7</v>
      </c>
      <c r="F7">
        <v>8.6069999999999993</v>
      </c>
      <c r="G7" t="s">
        <v>30</v>
      </c>
      <c r="H7" t="s">
        <v>13</v>
      </c>
    </row>
    <row r="8" spans="1:8" hidden="1" x14ac:dyDescent="0.35">
      <c r="A8">
        <v>49</v>
      </c>
      <c r="B8" t="str">
        <f t="shared" si="0"/>
        <v>40-50</v>
      </c>
      <c r="C8" t="s">
        <v>6</v>
      </c>
      <c r="D8" t="s">
        <v>12</v>
      </c>
      <c r="E8" t="s">
        <v>7</v>
      </c>
      <c r="F8">
        <v>16.274999999999999</v>
      </c>
      <c r="G8" t="s">
        <v>29</v>
      </c>
      <c r="H8" t="s">
        <v>8</v>
      </c>
    </row>
    <row r="9" spans="1:8" x14ac:dyDescent="0.35">
      <c r="A9">
        <v>41</v>
      </c>
      <c r="B9" t="str">
        <f t="shared" si="0"/>
        <v>40-50</v>
      </c>
      <c r="C9" t="s">
        <v>9</v>
      </c>
      <c r="D9" t="s">
        <v>10</v>
      </c>
      <c r="E9" t="s">
        <v>7</v>
      </c>
      <c r="F9">
        <v>11.037000000000001</v>
      </c>
      <c r="G9" t="s">
        <v>29</v>
      </c>
      <c r="H9" t="s">
        <v>11</v>
      </c>
    </row>
    <row r="10" spans="1:8" hidden="1" x14ac:dyDescent="0.35">
      <c r="A10">
        <v>60</v>
      </c>
      <c r="B10" t="str">
        <f t="shared" si="0"/>
        <v>60-70</v>
      </c>
      <c r="C10" t="s">
        <v>9</v>
      </c>
      <c r="D10" t="s">
        <v>12</v>
      </c>
      <c r="E10" t="s">
        <v>7</v>
      </c>
      <c r="F10">
        <v>15.170999999999999</v>
      </c>
      <c r="G10" t="s">
        <v>29</v>
      </c>
      <c r="H10" t="s">
        <v>8</v>
      </c>
    </row>
    <row r="11" spans="1:8" hidden="1" x14ac:dyDescent="0.35">
      <c r="A11">
        <v>43</v>
      </c>
      <c r="B11" t="str">
        <f t="shared" si="0"/>
        <v>40-50</v>
      </c>
      <c r="C11" t="s">
        <v>9</v>
      </c>
      <c r="D11" t="s">
        <v>10</v>
      </c>
      <c r="E11" t="s">
        <v>12</v>
      </c>
      <c r="F11">
        <v>19.367999999999999</v>
      </c>
      <c r="G11" t="s">
        <v>29</v>
      </c>
      <c r="H11" t="s">
        <v>8</v>
      </c>
    </row>
    <row r="12" spans="1:8" x14ac:dyDescent="0.35">
      <c r="A12">
        <v>47</v>
      </c>
      <c r="B12" t="str">
        <f t="shared" si="0"/>
        <v>40-50</v>
      </c>
      <c r="C12" t="s">
        <v>6</v>
      </c>
      <c r="D12" t="s">
        <v>10</v>
      </c>
      <c r="E12" t="s">
        <v>7</v>
      </c>
      <c r="F12">
        <v>11.766999999999999</v>
      </c>
      <c r="G12" t="s">
        <v>29</v>
      </c>
      <c r="H12" t="s">
        <v>11</v>
      </c>
    </row>
    <row r="13" spans="1:8" hidden="1" x14ac:dyDescent="0.35">
      <c r="A13">
        <v>34</v>
      </c>
      <c r="B13" t="str">
        <f t="shared" si="0"/>
        <v>30-40</v>
      </c>
      <c r="C13" t="s">
        <v>6</v>
      </c>
      <c r="D13" t="s">
        <v>7</v>
      </c>
      <c r="E13" t="s">
        <v>12</v>
      </c>
      <c r="F13">
        <v>19.199000000000002</v>
      </c>
      <c r="G13" t="s">
        <v>29</v>
      </c>
      <c r="H13" t="s">
        <v>8</v>
      </c>
    </row>
    <row r="14" spans="1:8" hidden="1" x14ac:dyDescent="0.35">
      <c r="A14">
        <v>43</v>
      </c>
      <c r="B14" t="str">
        <f t="shared" si="0"/>
        <v>40-50</v>
      </c>
      <c r="C14" t="s">
        <v>9</v>
      </c>
      <c r="D14" t="s">
        <v>10</v>
      </c>
      <c r="E14" t="s">
        <v>7</v>
      </c>
      <c r="F14">
        <v>15.375999999999999</v>
      </c>
      <c r="G14" t="s">
        <v>29</v>
      </c>
      <c r="H14" t="s">
        <v>8</v>
      </c>
    </row>
    <row r="15" spans="1:8" hidden="1" x14ac:dyDescent="0.35">
      <c r="A15">
        <v>74</v>
      </c>
      <c r="B15" t="str">
        <f t="shared" si="0"/>
        <v>70+</v>
      </c>
      <c r="C15" t="s">
        <v>6</v>
      </c>
      <c r="D15" t="s">
        <v>10</v>
      </c>
      <c r="E15" t="s">
        <v>7</v>
      </c>
      <c r="F15">
        <v>20.942</v>
      </c>
      <c r="G15" t="s">
        <v>18</v>
      </c>
      <c r="H15" t="s">
        <v>8</v>
      </c>
    </row>
    <row r="16" spans="1:8" x14ac:dyDescent="0.35">
      <c r="A16">
        <v>50</v>
      </c>
      <c r="B16" t="str">
        <f t="shared" si="0"/>
        <v>50-60</v>
      </c>
      <c r="C16" t="s">
        <v>6</v>
      </c>
      <c r="D16" t="s">
        <v>12</v>
      </c>
      <c r="E16" t="s">
        <v>7</v>
      </c>
      <c r="F16">
        <v>12.702999999999999</v>
      </c>
      <c r="G16" t="s">
        <v>29</v>
      </c>
      <c r="H16" t="s">
        <v>13</v>
      </c>
    </row>
    <row r="17" spans="1:8" hidden="1" x14ac:dyDescent="0.35">
      <c r="A17">
        <v>16</v>
      </c>
      <c r="B17" t="str">
        <f t="shared" si="0"/>
        <v>Minor</v>
      </c>
      <c r="C17" t="s">
        <v>6</v>
      </c>
      <c r="D17" t="s">
        <v>7</v>
      </c>
      <c r="E17" t="s">
        <v>12</v>
      </c>
      <c r="F17">
        <v>15.516</v>
      </c>
      <c r="G17" t="s">
        <v>29</v>
      </c>
      <c r="H17" t="s">
        <v>8</v>
      </c>
    </row>
    <row r="18" spans="1:8" x14ac:dyDescent="0.35">
      <c r="A18">
        <v>69</v>
      </c>
      <c r="B18" t="str">
        <f t="shared" si="0"/>
        <v>60-70</v>
      </c>
      <c r="C18" t="s">
        <v>9</v>
      </c>
      <c r="D18" t="s">
        <v>10</v>
      </c>
      <c r="E18" t="s">
        <v>12</v>
      </c>
      <c r="F18">
        <v>11.455</v>
      </c>
      <c r="G18" t="s">
        <v>29</v>
      </c>
      <c r="H18" t="s">
        <v>13</v>
      </c>
    </row>
    <row r="19" spans="1:8" x14ac:dyDescent="0.35">
      <c r="A19">
        <v>43</v>
      </c>
      <c r="B19" t="str">
        <f t="shared" si="0"/>
        <v>40-50</v>
      </c>
      <c r="C19" t="s">
        <v>9</v>
      </c>
      <c r="D19" t="s">
        <v>7</v>
      </c>
      <c r="E19" t="s">
        <v>7</v>
      </c>
      <c r="F19">
        <v>13.972</v>
      </c>
      <c r="G19" t="s">
        <v>29</v>
      </c>
      <c r="H19" t="s">
        <v>14</v>
      </c>
    </row>
    <row r="20" spans="1:8" x14ac:dyDescent="0.35">
      <c r="A20">
        <v>23</v>
      </c>
      <c r="B20" t="str">
        <f t="shared" si="0"/>
        <v>20-30</v>
      </c>
      <c r="C20" t="s">
        <v>9</v>
      </c>
      <c r="D20" t="s">
        <v>10</v>
      </c>
      <c r="E20" t="s">
        <v>7</v>
      </c>
      <c r="F20">
        <v>7.298</v>
      </c>
      <c r="G20" t="s">
        <v>30</v>
      </c>
      <c r="H20" t="s">
        <v>11</v>
      </c>
    </row>
    <row r="21" spans="1:8" hidden="1" x14ac:dyDescent="0.35">
      <c r="A21">
        <v>32</v>
      </c>
      <c r="B21" t="str">
        <f t="shared" si="0"/>
        <v>30-40</v>
      </c>
      <c r="C21" t="s">
        <v>6</v>
      </c>
      <c r="D21" t="s">
        <v>7</v>
      </c>
      <c r="E21" t="s">
        <v>12</v>
      </c>
      <c r="F21">
        <v>25.974</v>
      </c>
      <c r="G21" t="s">
        <v>18</v>
      </c>
      <c r="H21" t="s">
        <v>8</v>
      </c>
    </row>
    <row r="22" spans="1:8" hidden="1" x14ac:dyDescent="0.35">
      <c r="A22">
        <v>57</v>
      </c>
      <c r="B22" t="str">
        <f t="shared" si="0"/>
        <v>50-60</v>
      </c>
      <c r="C22" t="s">
        <v>9</v>
      </c>
      <c r="D22" t="s">
        <v>10</v>
      </c>
      <c r="E22" t="s">
        <v>12</v>
      </c>
      <c r="F22">
        <v>19.128</v>
      </c>
      <c r="G22" t="s">
        <v>29</v>
      </c>
      <c r="H22" t="s">
        <v>8</v>
      </c>
    </row>
    <row r="23" spans="1:8" hidden="1" x14ac:dyDescent="0.35">
      <c r="A23">
        <v>63</v>
      </c>
      <c r="B23" t="str">
        <f t="shared" si="0"/>
        <v>60-70</v>
      </c>
      <c r="C23" t="s">
        <v>9</v>
      </c>
      <c r="D23" t="s">
        <v>12</v>
      </c>
      <c r="E23" t="s">
        <v>7</v>
      </c>
      <c r="F23">
        <v>25.917000000000002</v>
      </c>
      <c r="G23" t="s">
        <v>18</v>
      </c>
      <c r="H23" t="s">
        <v>8</v>
      </c>
    </row>
    <row r="24" spans="1:8" hidden="1" x14ac:dyDescent="0.35">
      <c r="A24">
        <v>47</v>
      </c>
      <c r="B24" t="str">
        <f t="shared" si="0"/>
        <v>40-50</v>
      </c>
      <c r="C24" t="s">
        <v>9</v>
      </c>
      <c r="D24" t="s">
        <v>10</v>
      </c>
      <c r="E24" t="s">
        <v>12</v>
      </c>
      <c r="F24">
        <v>30.568000000000001</v>
      </c>
      <c r="G24" t="s">
        <v>19</v>
      </c>
      <c r="H24" t="s">
        <v>8</v>
      </c>
    </row>
    <row r="25" spans="1:8" hidden="1" x14ac:dyDescent="0.35">
      <c r="A25">
        <v>48</v>
      </c>
      <c r="B25" t="str">
        <f t="shared" si="0"/>
        <v>40-50</v>
      </c>
      <c r="C25" t="s">
        <v>6</v>
      </c>
      <c r="D25" t="s">
        <v>10</v>
      </c>
      <c r="E25" t="s">
        <v>7</v>
      </c>
      <c r="F25">
        <v>15.036</v>
      </c>
      <c r="G25" t="s">
        <v>29</v>
      </c>
      <c r="H25" t="s">
        <v>8</v>
      </c>
    </row>
    <row r="26" spans="1:8" hidden="1" x14ac:dyDescent="0.35">
      <c r="A26">
        <v>33</v>
      </c>
      <c r="B26" t="str">
        <f t="shared" si="0"/>
        <v>30-40</v>
      </c>
      <c r="C26" t="s">
        <v>6</v>
      </c>
      <c r="D26" t="s">
        <v>10</v>
      </c>
      <c r="E26" t="s">
        <v>7</v>
      </c>
      <c r="F26">
        <v>33.485999999999997</v>
      </c>
      <c r="G26" t="s">
        <v>19</v>
      </c>
      <c r="H26" t="s">
        <v>8</v>
      </c>
    </row>
    <row r="27" spans="1:8" hidden="1" x14ac:dyDescent="0.35">
      <c r="A27">
        <v>28</v>
      </c>
      <c r="B27" t="str">
        <f t="shared" si="0"/>
        <v>20-30</v>
      </c>
      <c r="C27" t="s">
        <v>6</v>
      </c>
      <c r="D27" t="s">
        <v>7</v>
      </c>
      <c r="E27" t="s">
        <v>12</v>
      </c>
      <c r="F27">
        <v>18.809000000000001</v>
      </c>
      <c r="G27" t="s">
        <v>29</v>
      </c>
      <c r="H27" t="s">
        <v>8</v>
      </c>
    </row>
    <row r="28" spans="1:8" hidden="1" x14ac:dyDescent="0.35">
      <c r="A28">
        <v>31</v>
      </c>
      <c r="B28" t="str">
        <f t="shared" si="0"/>
        <v>30-40</v>
      </c>
      <c r="C28" t="s">
        <v>9</v>
      </c>
      <c r="D28" t="s">
        <v>7</v>
      </c>
      <c r="E28" t="s">
        <v>7</v>
      </c>
      <c r="F28">
        <v>30.366</v>
      </c>
      <c r="G28" t="s">
        <v>19</v>
      </c>
      <c r="H28" t="s">
        <v>8</v>
      </c>
    </row>
    <row r="29" spans="1:8" x14ac:dyDescent="0.35">
      <c r="A29">
        <v>49</v>
      </c>
      <c r="B29" t="str">
        <f t="shared" si="0"/>
        <v>40-50</v>
      </c>
      <c r="C29" t="s">
        <v>6</v>
      </c>
      <c r="D29" t="s">
        <v>12</v>
      </c>
      <c r="E29" t="s">
        <v>12</v>
      </c>
      <c r="F29">
        <v>9.3810000000000002</v>
      </c>
      <c r="G29" t="s">
        <v>30</v>
      </c>
      <c r="H29" t="s">
        <v>13</v>
      </c>
    </row>
    <row r="30" spans="1:8" hidden="1" x14ac:dyDescent="0.35">
      <c r="A30">
        <v>39</v>
      </c>
      <c r="B30" t="str">
        <f t="shared" si="0"/>
        <v>30-40</v>
      </c>
      <c r="C30" t="s">
        <v>6</v>
      </c>
      <c r="D30" t="s">
        <v>10</v>
      </c>
      <c r="E30" t="s">
        <v>12</v>
      </c>
      <c r="F30">
        <v>22.696999999999999</v>
      </c>
      <c r="G30" t="s">
        <v>18</v>
      </c>
      <c r="H30" t="s">
        <v>8</v>
      </c>
    </row>
    <row r="31" spans="1:8" hidden="1" x14ac:dyDescent="0.35">
      <c r="A31">
        <v>45</v>
      </c>
      <c r="B31" t="str">
        <f t="shared" si="0"/>
        <v>40-50</v>
      </c>
      <c r="C31" t="s">
        <v>9</v>
      </c>
      <c r="D31" t="s">
        <v>10</v>
      </c>
      <c r="E31" t="s">
        <v>7</v>
      </c>
      <c r="F31">
        <v>17.951000000000001</v>
      </c>
      <c r="G31" t="s">
        <v>29</v>
      </c>
      <c r="H31" t="s">
        <v>8</v>
      </c>
    </row>
    <row r="32" spans="1:8" x14ac:dyDescent="0.35">
      <c r="A32">
        <v>18</v>
      </c>
      <c r="B32" t="str">
        <f t="shared" si="0"/>
        <v>Minor</v>
      </c>
      <c r="C32" t="s">
        <v>6</v>
      </c>
      <c r="D32" t="s">
        <v>12</v>
      </c>
      <c r="E32" t="s">
        <v>12</v>
      </c>
      <c r="F32">
        <v>8.75</v>
      </c>
      <c r="G32" t="s">
        <v>30</v>
      </c>
      <c r="H32" t="s">
        <v>13</v>
      </c>
    </row>
    <row r="33" spans="1:8" x14ac:dyDescent="0.35">
      <c r="A33">
        <v>74</v>
      </c>
      <c r="B33" t="str">
        <f t="shared" si="0"/>
        <v>70+</v>
      </c>
      <c r="C33" t="s">
        <v>9</v>
      </c>
      <c r="D33" t="s">
        <v>7</v>
      </c>
      <c r="E33" t="s">
        <v>7</v>
      </c>
      <c r="F33">
        <v>9.5670000000000002</v>
      </c>
      <c r="G33" t="s">
        <v>30</v>
      </c>
      <c r="H33" t="s">
        <v>15</v>
      </c>
    </row>
    <row r="34" spans="1:8" x14ac:dyDescent="0.35">
      <c r="A34">
        <v>49</v>
      </c>
      <c r="B34" t="str">
        <f t="shared" si="0"/>
        <v>40-50</v>
      </c>
      <c r="C34" t="s">
        <v>9</v>
      </c>
      <c r="D34" t="s">
        <v>10</v>
      </c>
      <c r="E34" t="s">
        <v>12</v>
      </c>
      <c r="F34">
        <v>11.013999999999999</v>
      </c>
      <c r="G34" t="s">
        <v>29</v>
      </c>
      <c r="H34" t="s">
        <v>13</v>
      </c>
    </row>
    <row r="35" spans="1:8" hidden="1" x14ac:dyDescent="0.35">
      <c r="A35">
        <v>65</v>
      </c>
      <c r="B35" t="str">
        <f t="shared" si="0"/>
        <v>60-70</v>
      </c>
      <c r="C35" t="s">
        <v>6</v>
      </c>
      <c r="D35" t="s">
        <v>7</v>
      </c>
      <c r="E35" t="s">
        <v>12</v>
      </c>
      <c r="F35">
        <v>31.876000000000001</v>
      </c>
      <c r="G35" t="s">
        <v>19</v>
      </c>
      <c r="H35" t="s">
        <v>8</v>
      </c>
    </row>
    <row r="36" spans="1:8" x14ac:dyDescent="0.35">
      <c r="A36">
        <v>53</v>
      </c>
      <c r="B36" t="str">
        <f t="shared" si="0"/>
        <v>50-60</v>
      </c>
      <c r="C36" t="s">
        <v>9</v>
      </c>
      <c r="D36" t="s">
        <v>12</v>
      </c>
      <c r="E36" t="s">
        <v>7</v>
      </c>
      <c r="F36">
        <v>14.132999999999999</v>
      </c>
      <c r="G36" t="s">
        <v>29</v>
      </c>
      <c r="H36" t="s">
        <v>13</v>
      </c>
    </row>
    <row r="37" spans="1:8" x14ac:dyDescent="0.35">
      <c r="A37">
        <v>46</v>
      </c>
      <c r="B37" t="str">
        <f t="shared" si="0"/>
        <v>40-50</v>
      </c>
      <c r="C37" t="s">
        <v>9</v>
      </c>
      <c r="D37" t="s">
        <v>12</v>
      </c>
      <c r="E37" t="s">
        <v>12</v>
      </c>
      <c r="F37">
        <v>7.2850000000000001</v>
      </c>
      <c r="G37" t="s">
        <v>30</v>
      </c>
      <c r="H37" t="s">
        <v>13</v>
      </c>
    </row>
    <row r="38" spans="1:8" x14ac:dyDescent="0.35">
      <c r="A38">
        <v>32</v>
      </c>
      <c r="B38" t="str">
        <f t="shared" si="0"/>
        <v>30-40</v>
      </c>
      <c r="C38" t="s">
        <v>9</v>
      </c>
      <c r="D38" t="s">
        <v>7</v>
      </c>
      <c r="E38" t="s">
        <v>12</v>
      </c>
      <c r="F38">
        <v>9.4450000000000003</v>
      </c>
      <c r="G38" t="s">
        <v>30</v>
      </c>
      <c r="H38" t="s">
        <v>14</v>
      </c>
    </row>
    <row r="39" spans="1:8" x14ac:dyDescent="0.35">
      <c r="A39">
        <v>39</v>
      </c>
      <c r="B39" t="str">
        <f t="shared" si="0"/>
        <v>30-40</v>
      </c>
      <c r="C39" t="s">
        <v>9</v>
      </c>
      <c r="D39" t="s">
        <v>10</v>
      </c>
      <c r="E39" t="s">
        <v>12</v>
      </c>
      <c r="F39">
        <v>13.938000000000001</v>
      </c>
      <c r="G39" t="s">
        <v>29</v>
      </c>
      <c r="H39" t="s">
        <v>13</v>
      </c>
    </row>
    <row r="40" spans="1:8" x14ac:dyDescent="0.35">
      <c r="A40">
        <v>39</v>
      </c>
      <c r="B40" t="str">
        <f t="shared" si="0"/>
        <v>30-40</v>
      </c>
      <c r="C40" t="s">
        <v>6</v>
      </c>
      <c r="D40" t="s">
        <v>12</v>
      </c>
      <c r="E40" t="s">
        <v>12</v>
      </c>
      <c r="F40">
        <v>9.7089999999999996</v>
      </c>
      <c r="G40" t="s">
        <v>30</v>
      </c>
      <c r="H40" t="s">
        <v>13</v>
      </c>
    </row>
    <row r="41" spans="1:8" x14ac:dyDescent="0.35">
      <c r="A41">
        <v>15</v>
      </c>
      <c r="B41" t="str">
        <f t="shared" si="0"/>
        <v>Minor</v>
      </c>
      <c r="C41" t="s">
        <v>9</v>
      </c>
      <c r="D41" t="s">
        <v>12</v>
      </c>
      <c r="E41" t="s">
        <v>7</v>
      </c>
      <c r="F41">
        <v>9.0839999999999996</v>
      </c>
      <c r="G41" t="s">
        <v>30</v>
      </c>
      <c r="H41" t="s">
        <v>13</v>
      </c>
    </row>
    <row r="42" spans="1:8" hidden="1" x14ac:dyDescent="0.35">
      <c r="A42">
        <v>73</v>
      </c>
      <c r="B42" t="str">
        <f t="shared" si="0"/>
        <v>70+</v>
      </c>
      <c r="C42" t="s">
        <v>6</v>
      </c>
      <c r="D42" t="s">
        <v>12</v>
      </c>
      <c r="E42" t="s">
        <v>7</v>
      </c>
      <c r="F42">
        <v>19.221</v>
      </c>
      <c r="G42" t="s">
        <v>29</v>
      </c>
      <c r="H42" t="s">
        <v>8</v>
      </c>
    </row>
    <row r="43" spans="1:8" x14ac:dyDescent="0.35">
      <c r="A43">
        <v>58</v>
      </c>
      <c r="B43" t="str">
        <f t="shared" si="0"/>
        <v>50-60</v>
      </c>
      <c r="C43" t="s">
        <v>6</v>
      </c>
      <c r="D43" t="s">
        <v>7</v>
      </c>
      <c r="E43" t="s">
        <v>12</v>
      </c>
      <c r="F43">
        <v>14.239000000000001</v>
      </c>
      <c r="G43" t="s">
        <v>29</v>
      </c>
      <c r="H43" t="s">
        <v>15</v>
      </c>
    </row>
    <row r="44" spans="1:8" hidden="1" x14ac:dyDescent="0.35">
      <c r="A44">
        <v>50</v>
      </c>
      <c r="B44" t="str">
        <f t="shared" si="0"/>
        <v>50-60</v>
      </c>
      <c r="C44" t="s">
        <v>9</v>
      </c>
      <c r="D44" t="s">
        <v>12</v>
      </c>
      <c r="E44" t="s">
        <v>12</v>
      </c>
      <c r="F44">
        <v>15.79</v>
      </c>
      <c r="G44" t="s">
        <v>29</v>
      </c>
      <c r="H44" t="s">
        <v>8</v>
      </c>
    </row>
    <row r="45" spans="1:8" x14ac:dyDescent="0.35">
      <c r="A45">
        <v>23</v>
      </c>
      <c r="B45" t="str">
        <f t="shared" si="0"/>
        <v>20-30</v>
      </c>
      <c r="C45" t="s">
        <v>9</v>
      </c>
      <c r="D45" t="s">
        <v>12</v>
      </c>
      <c r="E45" t="s">
        <v>7</v>
      </c>
      <c r="F45">
        <v>12.26</v>
      </c>
      <c r="G45" t="s">
        <v>29</v>
      </c>
      <c r="H45" t="s">
        <v>13</v>
      </c>
    </row>
    <row r="46" spans="1:8" x14ac:dyDescent="0.35">
      <c r="A46">
        <v>50</v>
      </c>
      <c r="B46" t="str">
        <f t="shared" si="0"/>
        <v>50-60</v>
      </c>
      <c r="C46" t="s">
        <v>6</v>
      </c>
      <c r="D46" t="s">
        <v>12</v>
      </c>
      <c r="E46" t="s">
        <v>12</v>
      </c>
      <c r="F46">
        <v>12.295</v>
      </c>
      <c r="G46" t="s">
        <v>29</v>
      </c>
      <c r="H46" t="s">
        <v>13</v>
      </c>
    </row>
    <row r="47" spans="1:8" x14ac:dyDescent="0.35">
      <c r="A47">
        <v>66</v>
      </c>
      <c r="B47" t="str">
        <f t="shared" si="0"/>
        <v>60-70</v>
      </c>
      <c r="C47" t="s">
        <v>6</v>
      </c>
      <c r="D47" t="s">
        <v>12</v>
      </c>
      <c r="E47" t="s">
        <v>12</v>
      </c>
      <c r="F47">
        <v>8.1069999999999993</v>
      </c>
      <c r="G47" t="s">
        <v>30</v>
      </c>
      <c r="H47" t="s">
        <v>13</v>
      </c>
    </row>
    <row r="48" spans="1:8" x14ac:dyDescent="0.35">
      <c r="A48">
        <v>37</v>
      </c>
      <c r="B48" t="str">
        <f t="shared" si="0"/>
        <v>30-40</v>
      </c>
      <c r="C48" t="s">
        <v>6</v>
      </c>
      <c r="D48" t="s">
        <v>7</v>
      </c>
      <c r="E48" t="s">
        <v>7</v>
      </c>
      <c r="F48">
        <v>13.090999999999999</v>
      </c>
      <c r="G48" t="s">
        <v>29</v>
      </c>
      <c r="H48" t="s">
        <v>14</v>
      </c>
    </row>
    <row r="49" spans="1:8" x14ac:dyDescent="0.35">
      <c r="A49">
        <v>68</v>
      </c>
      <c r="B49" t="str">
        <f t="shared" si="0"/>
        <v>60-70</v>
      </c>
      <c r="C49" t="s">
        <v>9</v>
      </c>
      <c r="D49" t="s">
        <v>10</v>
      </c>
      <c r="E49" t="s">
        <v>7</v>
      </c>
      <c r="F49">
        <v>10.291</v>
      </c>
      <c r="G49" t="s">
        <v>29</v>
      </c>
      <c r="H49" t="s">
        <v>11</v>
      </c>
    </row>
    <row r="50" spans="1:8" hidden="1" x14ac:dyDescent="0.35">
      <c r="A50">
        <v>23</v>
      </c>
      <c r="B50" t="str">
        <f t="shared" si="0"/>
        <v>20-30</v>
      </c>
      <c r="C50" t="s">
        <v>9</v>
      </c>
      <c r="D50" t="s">
        <v>12</v>
      </c>
      <c r="E50" t="s">
        <v>7</v>
      </c>
      <c r="F50">
        <v>31.686</v>
      </c>
      <c r="G50" t="s">
        <v>19</v>
      </c>
      <c r="H50" t="s">
        <v>8</v>
      </c>
    </row>
    <row r="51" spans="1:8" hidden="1" x14ac:dyDescent="0.35">
      <c r="A51">
        <v>28</v>
      </c>
      <c r="B51" t="str">
        <f t="shared" si="0"/>
        <v>20-30</v>
      </c>
      <c r="C51" t="s">
        <v>6</v>
      </c>
      <c r="D51" t="s">
        <v>10</v>
      </c>
      <c r="E51" t="s">
        <v>7</v>
      </c>
      <c r="F51">
        <v>19.795999999999999</v>
      </c>
      <c r="G51" t="s">
        <v>29</v>
      </c>
      <c r="H51" t="s">
        <v>8</v>
      </c>
    </row>
    <row r="52" spans="1:8" hidden="1" x14ac:dyDescent="0.35">
      <c r="A52">
        <v>58</v>
      </c>
      <c r="B52" t="str">
        <f t="shared" si="0"/>
        <v>50-60</v>
      </c>
      <c r="C52" t="s">
        <v>6</v>
      </c>
      <c r="D52" t="s">
        <v>7</v>
      </c>
      <c r="E52" t="s">
        <v>7</v>
      </c>
      <c r="F52">
        <v>19.416</v>
      </c>
      <c r="G52" t="s">
        <v>29</v>
      </c>
      <c r="H52" t="s">
        <v>8</v>
      </c>
    </row>
    <row r="53" spans="1:8" x14ac:dyDescent="0.35">
      <c r="A53">
        <v>67</v>
      </c>
      <c r="B53" t="str">
        <f t="shared" si="0"/>
        <v>60-70</v>
      </c>
      <c r="C53" t="s">
        <v>9</v>
      </c>
      <c r="D53" t="s">
        <v>12</v>
      </c>
      <c r="E53" t="s">
        <v>12</v>
      </c>
      <c r="F53">
        <v>10.898</v>
      </c>
      <c r="G53" t="s">
        <v>29</v>
      </c>
      <c r="H53" t="s">
        <v>13</v>
      </c>
    </row>
    <row r="54" spans="1:8" hidden="1" x14ac:dyDescent="0.35">
      <c r="A54">
        <v>62</v>
      </c>
      <c r="B54" t="str">
        <f t="shared" si="0"/>
        <v>60-70</v>
      </c>
      <c r="C54" t="s">
        <v>9</v>
      </c>
      <c r="D54" t="s">
        <v>10</v>
      </c>
      <c r="E54" t="s">
        <v>12</v>
      </c>
      <c r="F54">
        <v>27.183</v>
      </c>
      <c r="G54" t="s">
        <v>18</v>
      </c>
      <c r="H54" t="s">
        <v>8</v>
      </c>
    </row>
    <row r="55" spans="1:8" hidden="1" x14ac:dyDescent="0.35">
      <c r="A55">
        <v>24</v>
      </c>
      <c r="B55" t="str">
        <f t="shared" si="0"/>
        <v>20-30</v>
      </c>
      <c r="C55" t="s">
        <v>6</v>
      </c>
      <c r="D55" t="s">
        <v>7</v>
      </c>
      <c r="E55" t="s">
        <v>12</v>
      </c>
      <c r="F55">
        <v>18.457000000000001</v>
      </c>
      <c r="G55" t="s">
        <v>29</v>
      </c>
      <c r="H55" t="s">
        <v>8</v>
      </c>
    </row>
    <row r="56" spans="1:8" x14ac:dyDescent="0.35">
      <c r="A56">
        <v>68</v>
      </c>
      <c r="B56" t="str">
        <f t="shared" si="0"/>
        <v>60-70</v>
      </c>
      <c r="C56" t="s">
        <v>6</v>
      </c>
      <c r="D56" t="s">
        <v>7</v>
      </c>
      <c r="E56" t="s">
        <v>12</v>
      </c>
      <c r="F56">
        <v>10.189</v>
      </c>
      <c r="G56" t="s">
        <v>29</v>
      </c>
      <c r="H56" t="s">
        <v>15</v>
      </c>
    </row>
    <row r="57" spans="1:8" x14ac:dyDescent="0.35">
      <c r="A57">
        <v>26</v>
      </c>
      <c r="B57" t="str">
        <f t="shared" si="0"/>
        <v>20-30</v>
      </c>
      <c r="C57" t="s">
        <v>6</v>
      </c>
      <c r="D57" t="s">
        <v>10</v>
      </c>
      <c r="E57" t="s">
        <v>7</v>
      </c>
      <c r="F57">
        <v>14.16</v>
      </c>
      <c r="G57" t="s">
        <v>29</v>
      </c>
      <c r="H57" t="s">
        <v>11</v>
      </c>
    </row>
    <row r="58" spans="1:8" x14ac:dyDescent="0.35">
      <c r="A58">
        <v>65</v>
      </c>
      <c r="B58" t="str">
        <f t="shared" si="0"/>
        <v>60-70</v>
      </c>
      <c r="C58" t="s">
        <v>9</v>
      </c>
      <c r="D58" t="s">
        <v>7</v>
      </c>
      <c r="E58" t="s">
        <v>12</v>
      </c>
      <c r="F58">
        <v>11.34</v>
      </c>
      <c r="G58" t="s">
        <v>29</v>
      </c>
      <c r="H58" t="s">
        <v>15</v>
      </c>
    </row>
    <row r="59" spans="1:8" hidden="1" x14ac:dyDescent="0.35">
      <c r="A59">
        <v>40</v>
      </c>
      <c r="B59" t="str">
        <f t="shared" si="0"/>
        <v>40-50</v>
      </c>
      <c r="C59" t="s">
        <v>9</v>
      </c>
      <c r="D59" t="s">
        <v>7</v>
      </c>
      <c r="E59" t="s">
        <v>7</v>
      </c>
      <c r="F59">
        <v>27.826000000000001</v>
      </c>
      <c r="G59" t="s">
        <v>18</v>
      </c>
      <c r="H59" t="s">
        <v>8</v>
      </c>
    </row>
    <row r="60" spans="1:8" x14ac:dyDescent="0.35">
      <c r="A60">
        <v>60</v>
      </c>
      <c r="B60" t="str">
        <f t="shared" si="0"/>
        <v>60-70</v>
      </c>
      <c r="C60" t="s">
        <v>9</v>
      </c>
      <c r="D60" t="s">
        <v>12</v>
      </c>
      <c r="E60" t="s">
        <v>12</v>
      </c>
      <c r="F60">
        <v>10.090999999999999</v>
      </c>
      <c r="G60" t="s">
        <v>29</v>
      </c>
      <c r="H60" t="s">
        <v>13</v>
      </c>
    </row>
    <row r="61" spans="1:8" hidden="1" x14ac:dyDescent="0.35">
      <c r="A61">
        <v>34</v>
      </c>
      <c r="B61" t="str">
        <f t="shared" si="0"/>
        <v>30-40</v>
      </c>
      <c r="C61" t="s">
        <v>9</v>
      </c>
      <c r="D61" t="s">
        <v>7</v>
      </c>
      <c r="E61" t="s">
        <v>7</v>
      </c>
      <c r="F61">
        <v>18.702999999999999</v>
      </c>
      <c r="G61" t="s">
        <v>29</v>
      </c>
      <c r="H61" t="s">
        <v>8</v>
      </c>
    </row>
    <row r="62" spans="1:8" hidden="1" x14ac:dyDescent="0.35">
      <c r="A62">
        <v>38</v>
      </c>
      <c r="B62" t="str">
        <f t="shared" si="0"/>
        <v>30-40</v>
      </c>
      <c r="C62" t="s">
        <v>6</v>
      </c>
      <c r="D62" t="s">
        <v>10</v>
      </c>
      <c r="E62" t="s">
        <v>12</v>
      </c>
      <c r="F62">
        <v>29.875</v>
      </c>
      <c r="G62" t="s">
        <v>18</v>
      </c>
      <c r="H62" t="s">
        <v>8</v>
      </c>
    </row>
    <row r="63" spans="1:8" x14ac:dyDescent="0.35">
      <c r="A63">
        <v>24</v>
      </c>
      <c r="B63" t="str">
        <f t="shared" si="0"/>
        <v>20-30</v>
      </c>
      <c r="C63" t="s">
        <v>9</v>
      </c>
      <c r="D63" t="s">
        <v>7</v>
      </c>
      <c r="E63" t="s">
        <v>12</v>
      </c>
      <c r="F63">
        <v>9.4749999999999996</v>
      </c>
      <c r="G63" t="s">
        <v>30</v>
      </c>
      <c r="H63" t="s">
        <v>14</v>
      </c>
    </row>
    <row r="64" spans="1:8" hidden="1" x14ac:dyDescent="0.35">
      <c r="A64">
        <v>67</v>
      </c>
      <c r="B64" t="str">
        <f t="shared" si="0"/>
        <v>60-70</v>
      </c>
      <c r="C64" t="s">
        <v>9</v>
      </c>
      <c r="D64" t="s">
        <v>10</v>
      </c>
      <c r="E64" t="s">
        <v>12</v>
      </c>
      <c r="F64">
        <v>20.693000000000001</v>
      </c>
      <c r="G64" t="s">
        <v>18</v>
      </c>
      <c r="H64" t="s">
        <v>8</v>
      </c>
    </row>
    <row r="65" spans="1:8" x14ac:dyDescent="0.35">
      <c r="A65">
        <v>45</v>
      </c>
      <c r="B65" t="str">
        <f t="shared" si="0"/>
        <v>40-50</v>
      </c>
      <c r="C65" t="s">
        <v>9</v>
      </c>
      <c r="D65" t="s">
        <v>10</v>
      </c>
      <c r="E65" t="s">
        <v>12</v>
      </c>
      <c r="F65">
        <v>8.3699999999999992</v>
      </c>
      <c r="G65" t="s">
        <v>30</v>
      </c>
      <c r="H65" t="s">
        <v>13</v>
      </c>
    </row>
    <row r="66" spans="1:8" x14ac:dyDescent="0.35">
      <c r="A66">
        <v>60</v>
      </c>
      <c r="B66" t="str">
        <f t="shared" si="0"/>
        <v>60-70</v>
      </c>
      <c r="C66" t="s">
        <v>6</v>
      </c>
      <c r="D66" t="s">
        <v>7</v>
      </c>
      <c r="E66" t="s">
        <v>7</v>
      </c>
      <c r="F66">
        <v>13.303000000000001</v>
      </c>
      <c r="G66" t="s">
        <v>29</v>
      </c>
      <c r="H66" t="s">
        <v>15</v>
      </c>
    </row>
    <row r="67" spans="1:8" hidden="1" x14ac:dyDescent="0.35">
      <c r="A67">
        <v>68</v>
      </c>
      <c r="B67" t="str">
        <f t="shared" ref="B67:B130" si="1">IF(A67&gt;69,"70+",IF(A67&gt;59,"60-70",IF(A67&gt;49,"50-60",IF(A67&gt;39,"40-50",IF(A67&gt;29,"30-40",IF(A67&gt;19,"20-30","Minor"))))))</f>
        <v>60-70</v>
      </c>
      <c r="C67" t="s">
        <v>6</v>
      </c>
      <c r="D67" t="s">
        <v>12</v>
      </c>
      <c r="E67" t="s">
        <v>12</v>
      </c>
      <c r="F67">
        <v>27.05</v>
      </c>
      <c r="G67" t="s">
        <v>18</v>
      </c>
      <c r="H67" t="s">
        <v>8</v>
      </c>
    </row>
    <row r="68" spans="1:8" x14ac:dyDescent="0.35">
      <c r="A68">
        <v>29</v>
      </c>
      <c r="B68" t="str">
        <f t="shared" si="1"/>
        <v>20-30</v>
      </c>
      <c r="C68" t="s">
        <v>9</v>
      </c>
      <c r="D68" t="s">
        <v>7</v>
      </c>
      <c r="E68" t="s">
        <v>7</v>
      </c>
      <c r="F68">
        <v>12.856</v>
      </c>
      <c r="G68" t="s">
        <v>29</v>
      </c>
      <c r="H68" t="s">
        <v>14</v>
      </c>
    </row>
    <row r="69" spans="1:8" x14ac:dyDescent="0.35">
      <c r="A69">
        <v>17</v>
      </c>
      <c r="B69" t="str">
        <f t="shared" si="1"/>
        <v>Minor</v>
      </c>
      <c r="C69" t="s">
        <v>9</v>
      </c>
      <c r="D69" t="s">
        <v>12</v>
      </c>
      <c r="E69" t="s">
        <v>12</v>
      </c>
      <c r="F69">
        <v>10.832000000000001</v>
      </c>
      <c r="G69" t="s">
        <v>29</v>
      </c>
      <c r="H69" t="s">
        <v>13</v>
      </c>
    </row>
    <row r="70" spans="1:8" hidden="1" x14ac:dyDescent="0.35">
      <c r="A70">
        <v>54</v>
      </c>
      <c r="B70" t="str">
        <f t="shared" si="1"/>
        <v>50-60</v>
      </c>
      <c r="C70" t="s">
        <v>9</v>
      </c>
      <c r="D70" t="s">
        <v>12</v>
      </c>
      <c r="E70" t="s">
        <v>7</v>
      </c>
      <c r="F70">
        <v>24.658000000000001</v>
      </c>
      <c r="G70" t="s">
        <v>18</v>
      </c>
      <c r="H70" t="s">
        <v>8</v>
      </c>
    </row>
    <row r="71" spans="1:8" hidden="1" x14ac:dyDescent="0.35">
      <c r="A71">
        <v>18</v>
      </c>
      <c r="B71" t="str">
        <f t="shared" si="1"/>
        <v>Minor</v>
      </c>
      <c r="C71" t="s">
        <v>6</v>
      </c>
      <c r="D71" t="s">
        <v>7</v>
      </c>
      <c r="E71" t="s">
        <v>12</v>
      </c>
      <c r="F71">
        <v>24.276</v>
      </c>
      <c r="G71" t="s">
        <v>18</v>
      </c>
      <c r="H71" t="s">
        <v>8</v>
      </c>
    </row>
    <row r="72" spans="1:8" x14ac:dyDescent="0.35">
      <c r="A72">
        <v>70</v>
      </c>
      <c r="B72" t="str">
        <f t="shared" si="1"/>
        <v>70+</v>
      </c>
      <c r="C72" t="s">
        <v>9</v>
      </c>
      <c r="D72" t="s">
        <v>7</v>
      </c>
      <c r="E72" t="s">
        <v>7</v>
      </c>
      <c r="F72">
        <v>13.967000000000001</v>
      </c>
      <c r="G72" t="s">
        <v>29</v>
      </c>
      <c r="H72" t="s">
        <v>15</v>
      </c>
    </row>
    <row r="73" spans="1:8" hidden="1" x14ac:dyDescent="0.35">
      <c r="A73">
        <v>28</v>
      </c>
      <c r="B73" t="str">
        <f t="shared" si="1"/>
        <v>20-30</v>
      </c>
      <c r="C73" t="s">
        <v>6</v>
      </c>
      <c r="D73" t="s">
        <v>12</v>
      </c>
      <c r="E73" t="s">
        <v>7</v>
      </c>
      <c r="F73">
        <v>19.675000000000001</v>
      </c>
      <c r="G73" t="s">
        <v>29</v>
      </c>
      <c r="H73" t="s">
        <v>8</v>
      </c>
    </row>
    <row r="74" spans="1:8" x14ac:dyDescent="0.35">
      <c r="A74">
        <v>24</v>
      </c>
      <c r="B74" t="str">
        <f t="shared" si="1"/>
        <v>20-30</v>
      </c>
      <c r="C74" t="s">
        <v>6</v>
      </c>
      <c r="D74" t="s">
        <v>12</v>
      </c>
      <c r="E74" t="s">
        <v>7</v>
      </c>
      <c r="F74">
        <v>10.605</v>
      </c>
      <c r="G74" t="s">
        <v>29</v>
      </c>
      <c r="H74" t="s">
        <v>13</v>
      </c>
    </row>
    <row r="75" spans="1:8" hidden="1" x14ac:dyDescent="0.35">
      <c r="A75">
        <v>41</v>
      </c>
      <c r="B75" t="str">
        <f t="shared" si="1"/>
        <v>40-50</v>
      </c>
      <c r="C75" t="s">
        <v>6</v>
      </c>
      <c r="D75" t="s">
        <v>12</v>
      </c>
      <c r="E75" t="s">
        <v>12</v>
      </c>
      <c r="F75">
        <v>22.905000000000001</v>
      </c>
      <c r="G75" t="s">
        <v>18</v>
      </c>
      <c r="H75" t="s">
        <v>8</v>
      </c>
    </row>
    <row r="76" spans="1:8" hidden="1" x14ac:dyDescent="0.35">
      <c r="A76">
        <v>31</v>
      </c>
      <c r="B76" t="str">
        <f t="shared" si="1"/>
        <v>30-40</v>
      </c>
      <c r="C76" t="s">
        <v>9</v>
      </c>
      <c r="D76" t="s">
        <v>7</v>
      </c>
      <c r="E76" t="s">
        <v>12</v>
      </c>
      <c r="F76">
        <v>17.068999999999999</v>
      </c>
      <c r="G76" t="s">
        <v>29</v>
      </c>
      <c r="H76" t="s">
        <v>8</v>
      </c>
    </row>
    <row r="77" spans="1:8" hidden="1" x14ac:dyDescent="0.35">
      <c r="A77">
        <v>26</v>
      </c>
      <c r="B77" t="str">
        <f t="shared" si="1"/>
        <v>20-30</v>
      </c>
      <c r="C77" t="s">
        <v>9</v>
      </c>
      <c r="D77" t="s">
        <v>10</v>
      </c>
      <c r="E77" t="s">
        <v>12</v>
      </c>
      <c r="F77">
        <v>20.908999999999999</v>
      </c>
      <c r="G77" t="s">
        <v>18</v>
      </c>
      <c r="H77" t="s">
        <v>8</v>
      </c>
    </row>
    <row r="78" spans="1:8" x14ac:dyDescent="0.35">
      <c r="A78">
        <v>36</v>
      </c>
      <c r="B78" t="str">
        <f t="shared" si="1"/>
        <v>30-40</v>
      </c>
      <c r="C78" t="s">
        <v>6</v>
      </c>
      <c r="D78" t="s">
        <v>7</v>
      </c>
      <c r="E78" t="s">
        <v>7</v>
      </c>
      <c r="F78">
        <v>11.198</v>
      </c>
      <c r="G78" t="s">
        <v>29</v>
      </c>
      <c r="H78" t="s">
        <v>14</v>
      </c>
    </row>
    <row r="79" spans="1:8" hidden="1" x14ac:dyDescent="0.35">
      <c r="A79">
        <v>26</v>
      </c>
      <c r="B79" t="str">
        <f t="shared" si="1"/>
        <v>20-30</v>
      </c>
      <c r="C79" t="s">
        <v>6</v>
      </c>
      <c r="D79" t="s">
        <v>7</v>
      </c>
      <c r="E79" t="s">
        <v>12</v>
      </c>
      <c r="F79">
        <v>19.161000000000001</v>
      </c>
      <c r="G79" t="s">
        <v>29</v>
      </c>
      <c r="H79" t="s">
        <v>8</v>
      </c>
    </row>
    <row r="80" spans="1:8" x14ac:dyDescent="0.35">
      <c r="A80">
        <v>19</v>
      </c>
      <c r="B80" t="str">
        <f t="shared" si="1"/>
        <v>Minor</v>
      </c>
      <c r="C80" t="s">
        <v>6</v>
      </c>
      <c r="D80" t="s">
        <v>7</v>
      </c>
      <c r="E80" t="s">
        <v>7</v>
      </c>
      <c r="F80">
        <v>13.313000000000001</v>
      </c>
      <c r="G80" t="s">
        <v>29</v>
      </c>
      <c r="H80" t="s">
        <v>14</v>
      </c>
    </row>
    <row r="81" spans="1:8" x14ac:dyDescent="0.35">
      <c r="A81">
        <v>32</v>
      </c>
      <c r="B81" t="str">
        <f t="shared" si="1"/>
        <v>30-40</v>
      </c>
      <c r="C81" t="s">
        <v>6</v>
      </c>
      <c r="D81" t="s">
        <v>10</v>
      </c>
      <c r="E81" t="s">
        <v>12</v>
      </c>
      <c r="F81">
        <v>10.84</v>
      </c>
      <c r="G81" t="s">
        <v>29</v>
      </c>
      <c r="H81" t="s">
        <v>13</v>
      </c>
    </row>
    <row r="82" spans="1:8" x14ac:dyDescent="0.35">
      <c r="A82">
        <v>60</v>
      </c>
      <c r="B82" t="str">
        <f t="shared" si="1"/>
        <v>60-70</v>
      </c>
      <c r="C82" t="s">
        <v>9</v>
      </c>
      <c r="D82" t="s">
        <v>7</v>
      </c>
      <c r="E82" t="s">
        <v>7</v>
      </c>
      <c r="F82">
        <v>13.933999999999999</v>
      </c>
      <c r="G82" t="s">
        <v>29</v>
      </c>
      <c r="H82" t="s">
        <v>15</v>
      </c>
    </row>
    <row r="83" spans="1:8" x14ac:dyDescent="0.35">
      <c r="A83">
        <v>64</v>
      </c>
      <c r="B83" t="str">
        <f t="shared" si="1"/>
        <v>60-70</v>
      </c>
      <c r="C83" t="s">
        <v>9</v>
      </c>
      <c r="D83" t="s">
        <v>12</v>
      </c>
      <c r="E83" t="s">
        <v>7</v>
      </c>
      <c r="F83">
        <v>7.7610000000000001</v>
      </c>
      <c r="G83" t="s">
        <v>30</v>
      </c>
      <c r="H83" t="s">
        <v>13</v>
      </c>
    </row>
    <row r="84" spans="1:8" x14ac:dyDescent="0.35">
      <c r="A84">
        <v>32</v>
      </c>
      <c r="B84" t="str">
        <f t="shared" si="1"/>
        <v>30-40</v>
      </c>
      <c r="C84" t="s">
        <v>6</v>
      </c>
      <c r="D84" t="s">
        <v>10</v>
      </c>
      <c r="E84" t="s">
        <v>7</v>
      </c>
      <c r="F84">
        <v>9.7119999999999997</v>
      </c>
      <c r="G84" t="s">
        <v>30</v>
      </c>
      <c r="H84" t="s">
        <v>11</v>
      </c>
    </row>
    <row r="85" spans="1:8" x14ac:dyDescent="0.35">
      <c r="A85">
        <v>38</v>
      </c>
      <c r="B85" t="str">
        <f t="shared" si="1"/>
        <v>30-40</v>
      </c>
      <c r="C85" t="s">
        <v>6</v>
      </c>
      <c r="D85" t="s">
        <v>7</v>
      </c>
      <c r="E85" t="s">
        <v>12</v>
      </c>
      <c r="F85">
        <v>11.326000000000001</v>
      </c>
      <c r="G85" t="s">
        <v>29</v>
      </c>
      <c r="H85" t="s">
        <v>14</v>
      </c>
    </row>
    <row r="86" spans="1:8" x14ac:dyDescent="0.35">
      <c r="A86">
        <v>47</v>
      </c>
      <c r="B86" t="str">
        <f t="shared" si="1"/>
        <v>40-50</v>
      </c>
      <c r="C86" t="s">
        <v>6</v>
      </c>
      <c r="D86" t="s">
        <v>10</v>
      </c>
      <c r="E86" t="s">
        <v>7</v>
      </c>
      <c r="F86">
        <v>10.067</v>
      </c>
      <c r="G86" t="s">
        <v>29</v>
      </c>
      <c r="H86" t="s">
        <v>11</v>
      </c>
    </row>
    <row r="87" spans="1:8" x14ac:dyDescent="0.35">
      <c r="A87">
        <v>59</v>
      </c>
      <c r="B87" t="str">
        <f t="shared" si="1"/>
        <v>50-60</v>
      </c>
      <c r="C87" t="s">
        <v>9</v>
      </c>
      <c r="D87" t="s">
        <v>7</v>
      </c>
      <c r="E87" t="s">
        <v>7</v>
      </c>
      <c r="F87">
        <v>13.935</v>
      </c>
      <c r="G87" t="s">
        <v>29</v>
      </c>
      <c r="H87" t="s">
        <v>15</v>
      </c>
    </row>
    <row r="88" spans="1:8" x14ac:dyDescent="0.35">
      <c r="A88">
        <v>51</v>
      </c>
      <c r="B88" t="str">
        <f t="shared" si="1"/>
        <v>50-60</v>
      </c>
      <c r="C88" t="s">
        <v>6</v>
      </c>
      <c r="D88" t="s">
        <v>12</v>
      </c>
      <c r="E88" t="s">
        <v>7</v>
      </c>
      <c r="F88">
        <v>13.597</v>
      </c>
      <c r="G88" t="s">
        <v>29</v>
      </c>
      <c r="H88" t="s">
        <v>13</v>
      </c>
    </row>
    <row r="89" spans="1:8" hidden="1" x14ac:dyDescent="0.35">
      <c r="A89">
        <v>69</v>
      </c>
      <c r="B89" t="str">
        <f t="shared" si="1"/>
        <v>60-70</v>
      </c>
      <c r="C89" t="s">
        <v>9</v>
      </c>
      <c r="D89" t="s">
        <v>10</v>
      </c>
      <c r="E89" t="s">
        <v>7</v>
      </c>
      <c r="F89">
        <v>15.478</v>
      </c>
      <c r="G89" t="s">
        <v>29</v>
      </c>
      <c r="H89" t="s">
        <v>8</v>
      </c>
    </row>
    <row r="90" spans="1:8" hidden="1" x14ac:dyDescent="0.35">
      <c r="A90">
        <v>37</v>
      </c>
      <c r="B90" t="str">
        <f t="shared" si="1"/>
        <v>30-40</v>
      </c>
      <c r="C90" t="s">
        <v>6</v>
      </c>
      <c r="D90" t="s">
        <v>7</v>
      </c>
      <c r="E90" t="s">
        <v>12</v>
      </c>
      <c r="F90">
        <v>23.091000000000001</v>
      </c>
      <c r="G90" t="s">
        <v>18</v>
      </c>
      <c r="H90" t="s">
        <v>8</v>
      </c>
    </row>
    <row r="91" spans="1:8" hidden="1" x14ac:dyDescent="0.35">
      <c r="A91">
        <v>50</v>
      </c>
      <c r="B91" t="str">
        <f t="shared" si="1"/>
        <v>50-60</v>
      </c>
      <c r="C91" t="s">
        <v>6</v>
      </c>
      <c r="D91" t="s">
        <v>12</v>
      </c>
      <c r="E91" t="s">
        <v>12</v>
      </c>
      <c r="F91">
        <v>17.210999999999999</v>
      </c>
      <c r="G91" t="s">
        <v>29</v>
      </c>
      <c r="H91" t="s">
        <v>8</v>
      </c>
    </row>
    <row r="92" spans="1:8" hidden="1" x14ac:dyDescent="0.35">
      <c r="A92">
        <v>62</v>
      </c>
      <c r="B92" t="str">
        <f t="shared" si="1"/>
        <v>60-70</v>
      </c>
      <c r="C92" t="s">
        <v>9</v>
      </c>
      <c r="D92" t="s">
        <v>12</v>
      </c>
      <c r="E92" t="s">
        <v>7</v>
      </c>
      <c r="F92">
        <v>16.594000000000001</v>
      </c>
      <c r="G92" t="s">
        <v>29</v>
      </c>
      <c r="H92" t="s">
        <v>8</v>
      </c>
    </row>
    <row r="93" spans="1:8" hidden="1" x14ac:dyDescent="0.35">
      <c r="A93">
        <v>41</v>
      </c>
      <c r="B93" t="str">
        <f t="shared" si="1"/>
        <v>40-50</v>
      </c>
      <c r="C93" t="s">
        <v>9</v>
      </c>
      <c r="D93" t="s">
        <v>7</v>
      </c>
      <c r="E93" t="s">
        <v>12</v>
      </c>
      <c r="F93">
        <v>15.156000000000001</v>
      </c>
      <c r="G93" t="s">
        <v>29</v>
      </c>
      <c r="H93" t="s">
        <v>8</v>
      </c>
    </row>
    <row r="94" spans="1:8" hidden="1" x14ac:dyDescent="0.35">
      <c r="A94">
        <v>29</v>
      </c>
      <c r="B94" t="str">
        <f t="shared" si="1"/>
        <v>20-30</v>
      </c>
      <c r="C94" t="s">
        <v>6</v>
      </c>
      <c r="D94" t="s">
        <v>7</v>
      </c>
      <c r="E94" t="s">
        <v>7</v>
      </c>
      <c r="F94">
        <v>29.45</v>
      </c>
      <c r="G94" t="s">
        <v>18</v>
      </c>
      <c r="H94" t="s">
        <v>8</v>
      </c>
    </row>
    <row r="95" spans="1:8" hidden="1" x14ac:dyDescent="0.35">
      <c r="A95">
        <v>42</v>
      </c>
      <c r="B95" t="str">
        <f t="shared" si="1"/>
        <v>40-50</v>
      </c>
      <c r="C95" t="s">
        <v>6</v>
      </c>
      <c r="D95" t="s">
        <v>10</v>
      </c>
      <c r="E95" t="s">
        <v>12</v>
      </c>
      <c r="F95">
        <v>29.271000000000001</v>
      </c>
      <c r="G95" t="s">
        <v>18</v>
      </c>
      <c r="H95" t="s">
        <v>8</v>
      </c>
    </row>
    <row r="96" spans="1:8" hidden="1" x14ac:dyDescent="0.35">
      <c r="A96">
        <v>56</v>
      </c>
      <c r="B96" t="str">
        <f t="shared" si="1"/>
        <v>50-60</v>
      </c>
      <c r="C96" t="s">
        <v>9</v>
      </c>
      <c r="D96" t="s">
        <v>10</v>
      </c>
      <c r="E96" t="s">
        <v>7</v>
      </c>
      <c r="F96">
        <v>15.015000000000001</v>
      </c>
      <c r="G96" t="s">
        <v>29</v>
      </c>
      <c r="H96" t="s">
        <v>8</v>
      </c>
    </row>
    <row r="97" spans="1:8" x14ac:dyDescent="0.35">
      <c r="A97">
        <v>36</v>
      </c>
      <c r="B97" t="str">
        <f t="shared" si="1"/>
        <v>30-40</v>
      </c>
      <c r="C97" t="s">
        <v>9</v>
      </c>
      <c r="D97" t="s">
        <v>10</v>
      </c>
      <c r="E97" t="s">
        <v>12</v>
      </c>
      <c r="F97">
        <v>11.423999999999999</v>
      </c>
      <c r="G97" t="s">
        <v>29</v>
      </c>
      <c r="H97" t="s">
        <v>13</v>
      </c>
    </row>
    <row r="98" spans="1:8" hidden="1" x14ac:dyDescent="0.35">
      <c r="A98">
        <v>58</v>
      </c>
      <c r="B98" t="str">
        <f t="shared" si="1"/>
        <v>50-60</v>
      </c>
      <c r="C98" t="s">
        <v>6</v>
      </c>
      <c r="D98" t="s">
        <v>10</v>
      </c>
      <c r="E98" t="s">
        <v>7</v>
      </c>
      <c r="F98">
        <v>38.247</v>
      </c>
      <c r="G98" t="s">
        <v>19</v>
      </c>
      <c r="H98" t="s">
        <v>8</v>
      </c>
    </row>
    <row r="99" spans="1:8" hidden="1" x14ac:dyDescent="0.35">
      <c r="A99">
        <v>56</v>
      </c>
      <c r="B99" t="str">
        <f t="shared" si="1"/>
        <v>50-60</v>
      </c>
      <c r="C99" t="s">
        <v>6</v>
      </c>
      <c r="D99" t="s">
        <v>7</v>
      </c>
      <c r="E99" t="s">
        <v>7</v>
      </c>
      <c r="F99">
        <v>25.395</v>
      </c>
      <c r="G99" t="s">
        <v>18</v>
      </c>
      <c r="H99" t="s">
        <v>8</v>
      </c>
    </row>
    <row r="100" spans="1:8" hidden="1" x14ac:dyDescent="0.35">
      <c r="A100">
        <v>20</v>
      </c>
      <c r="B100" t="str">
        <f t="shared" si="1"/>
        <v>20-30</v>
      </c>
      <c r="C100" t="s">
        <v>9</v>
      </c>
      <c r="D100" t="s">
        <v>7</v>
      </c>
      <c r="E100" t="s">
        <v>12</v>
      </c>
      <c r="F100">
        <v>35.639000000000003</v>
      </c>
      <c r="G100" t="s">
        <v>19</v>
      </c>
      <c r="H100" t="s">
        <v>8</v>
      </c>
    </row>
    <row r="101" spans="1:8" hidden="1" x14ac:dyDescent="0.35">
      <c r="A101">
        <v>15</v>
      </c>
      <c r="B101" t="str">
        <f t="shared" si="1"/>
        <v>Minor</v>
      </c>
      <c r="C101" t="s">
        <v>6</v>
      </c>
      <c r="D101" t="s">
        <v>7</v>
      </c>
      <c r="E101" t="s">
        <v>12</v>
      </c>
      <c r="F101">
        <v>16.725000000000001</v>
      </c>
      <c r="G101" t="s">
        <v>29</v>
      </c>
      <c r="H101" t="s">
        <v>8</v>
      </c>
    </row>
    <row r="102" spans="1:8" x14ac:dyDescent="0.35">
      <c r="A102">
        <v>31</v>
      </c>
      <c r="B102" t="str">
        <f t="shared" si="1"/>
        <v>30-40</v>
      </c>
      <c r="C102" t="s">
        <v>9</v>
      </c>
      <c r="D102" t="s">
        <v>7</v>
      </c>
      <c r="E102" t="s">
        <v>12</v>
      </c>
      <c r="F102">
        <v>11.871</v>
      </c>
      <c r="G102" t="s">
        <v>29</v>
      </c>
      <c r="H102" t="s">
        <v>14</v>
      </c>
    </row>
    <row r="103" spans="1:8" x14ac:dyDescent="0.35">
      <c r="A103">
        <v>45</v>
      </c>
      <c r="B103" t="str">
        <f t="shared" si="1"/>
        <v>40-50</v>
      </c>
      <c r="C103" t="s">
        <v>6</v>
      </c>
      <c r="D103" t="s">
        <v>7</v>
      </c>
      <c r="E103" t="s">
        <v>7</v>
      </c>
      <c r="F103">
        <v>12.853999999999999</v>
      </c>
      <c r="G103" t="s">
        <v>29</v>
      </c>
      <c r="H103" t="s">
        <v>14</v>
      </c>
    </row>
    <row r="104" spans="1:8" x14ac:dyDescent="0.35">
      <c r="A104">
        <v>28</v>
      </c>
      <c r="B104" t="str">
        <f t="shared" si="1"/>
        <v>20-30</v>
      </c>
      <c r="C104" t="s">
        <v>6</v>
      </c>
      <c r="D104" t="s">
        <v>10</v>
      </c>
      <c r="E104" t="s">
        <v>7</v>
      </c>
      <c r="F104">
        <v>13.127000000000001</v>
      </c>
      <c r="G104" t="s">
        <v>29</v>
      </c>
      <c r="H104" t="s">
        <v>11</v>
      </c>
    </row>
    <row r="105" spans="1:8" x14ac:dyDescent="0.35">
      <c r="A105">
        <v>56</v>
      </c>
      <c r="B105" t="str">
        <f t="shared" si="1"/>
        <v>50-60</v>
      </c>
      <c r="C105" t="s">
        <v>9</v>
      </c>
      <c r="D105" t="s">
        <v>12</v>
      </c>
      <c r="E105" t="s">
        <v>7</v>
      </c>
      <c r="F105">
        <v>8.9659999999999993</v>
      </c>
      <c r="G105" t="s">
        <v>30</v>
      </c>
      <c r="H105" t="s">
        <v>13</v>
      </c>
    </row>
    <row r="106" spans="1:8" hidden="1" x14ac:dyDescent="0.35">
      <c r="A106">
        <v>22</v>
      </c>
      <c r="B106" t="str">
        <f t="shared" si="1"/>
        <v>20-30</v>
      </c>
      <c r="C106" t="s">
        <v>9</v>
      </c>
      <c r="D106" t="s">
        <v>7</v>
      </c>
      <c r="E106" t="s">
        <v>12</v>
      </c>
      <c r="F106">
        <v>28.294</v>
      </c>
      <c r="G106" t="s">
        <v>18</v>
      </c>
      <c r="H106" t="s">
        <v>8</v>
      </c>
    </row>
    <row r="107" spans="1:8" x14ac:dyDescent="0.35">
      <c r="A107">
        <v>37</v>
      </c>
      <c r="B107" t="str">
        <f t="shared" si="1"/>
        <v>30-40</v>
      </c>
      <c r="C107" t="s">
        <v>9</v>
      </c>
      <c r="D107" t="s">
        <v>10</v>
      </c>
      <c r="E107" t="s">
        <v>12</v>
      </c>
      <c r="F107">
        <v>8.968</v>
      </c>
      <c r="G107" t="s">
        <v>30</v>
      </c>
      <c r="H107" t="s">
        <v>13</v>
      </c>
    </row>
    <row r="108" spans="1:8" x14ac:dyDescent="0.35">
      <c r="A108">
        <v>22</v>
      </c>
      <c r="B108" t="str">
        <f t="shared" si="1"/>
        <v>20-30</v>
      </c>
      <c r="C108" t="s">
        <v>9</v>
      </c>
      <c r="D108" t="s">
        <v>12</v>
      </c>
      <c r="E108" t="s">
        <v>7</v>
      </c>
      <c r="F108">
        <v>11.952999999999999</v>
      </c>
      <c r="G108" t="s">
        <v>29</v>
      </c>
      <c r="H108" t="s">
        <v>13</v>
      </c>
    </row>
    <row r="109" spans="1:8" hidden="1" x14ac:dyDescent="0.35">
      <c r="A109">
        <v>42</v>
      </c>
      <c r="B109" t="str">
        <f t="shared" si="1"/>
        <v>40-50</v>
      </c>
      <c r="C109" t="s">
        <v>9</v>
      </c>
      <c r="D109" t="s">
        <v>10</v>
      </c>
      <c r="E109" t="s">
        <v>7</v>
      </c>
      <c r="F109">
        <v>20.013000000000002</v>
      </c>
      <c r="G109" t="s">
        <v>18</v>
      </c>
      <c r="H109" t="s">
        <v>8</v>
      </c>
    </row>
    <row r="110" spans="1:8" x14ac:dyDescent="0.35">
      <c r="A110">
        <v>72</v>
      </c>
      <c r="B110" t="str">
        <f t="shared" si="1"/>
        <v>70+</v>
      </c>
      <c r="C110" t="s">
        <v>9</v>
      </c>
      <c r="D110" t="s">
        <v>7</v>
      </c>
      <c r="E110" t="s">
        <v>12</v>
      </c>
      <c r="F110">
        <v>9.6769999999999996</v>
      </c>
      <c r="G110" t="s">
        <v>30</v>
      </c>
      <c r="H110" t="s">
        <v>15</v>
      </c>
    </row>
    <row r="111" spans="1:8" hidden="1" x14ac:dyDescent="0.35">
      <c r="A111">
        <v>23</v>
      </c>
      <c r="B111" t="str">
        <f t="shared" si="1"/>
        <v>20-30</v>
      </c>
      <c r="C111" t="s">
        <v>9</v>
      </c>
      <c r="D111" t="s">
        <v>12</v>
      </c>
      <c r="E111" t="s">
        <v>7</v>
      </c>
      <c r="F111">
        <v>16.850000000000001</v>
      </c>
      <c r="G111" t="s">
        <v>29</v>
      </c>
      <c r="H111" t="s">
        <v>8</v>
      </c>
    </row>
    <row r="112" spans="1:8" x14ac:dyDescent="0.35">
      <c r="A112">
        <v>50</v>
      </c>
      <c r="B112" t="str">
        <f t="shared" si="1"/>
        <v>50-60</v>
      </c>
      <c r="C112" t="s">
        <v>9</v>
      </c>
      <c r="D112" t="s">
        <v>7</v>
      </c>
      <c r="E112" t="s">
        <v>7</v>
      </c>
      <c r="F112">
        <v>7.49</v>
      </c>
      <c r="G112" t="s">
        <v>30</v>
      </c>
      <c r="H112" t="s">
        <v>14</v>
      </c>
    </row>
    <row r="113" spans="1:8" x14ac:dyDescent="0.35">
      <c r="A113">
        <v>47</v>
      </c>
      <c r="B113" t="str">
        <f t="shared" si="1"/>
        <v>40-50</v>
      </c>
      <c r="C113" t="s">
        <v>6</v>
      </c>
      <c r="D113" t="s">
        <v>12</v>
      </c>
      <c r="E113" t="s">
        <v>12</v>
      </c>
      <c r="F113">
        <v>6.6829999999999998</v>
      </c>
      <c r="G113" t="s">
        <v>30</v>
      </c>
      <c r="H113" t="s">
        <v>13</v>
      </c>
    </row>
    <row r="114" spans="1:8" x14ac:dyDescent="0.35">
      <c r="A114">
        <v>35</v>
      </c>
      <c r="B114" t="str">
        <f t="shared" si="1"/>
        <v>30-40</v>
      </c>
      <c r="C114" t="s">
        <v>9</v>
      </c>
      <c r="D114" t="s">
        <v>10</v>
      </c>
      <c r="E114" t="s">
        <v>12</v>
      </c>
      <c r="F114">
        <v>9.17</v>
      </c>
      <c r="G114" t="s">
        <v>30</v>
      </c>
      <c r="H114" t="s">
        <v>13</v>
      </c>
    </row>
    <row r="115" spans="1:8" x14ac:dyDescent="0.35">
      <c r="A115">
        <v>65</v>
      </c>
      <c r="B115" t="str">
        <f t="shared" si="1"/>
        <v>60-70</v>
      </c>
      <c r="C115" t="s">
        <v>6</v>
      </c>
      <c r="D115" t="s">
        <v>10</v>
      </c>
      <c r="E115" t="s">
        <v>12</v>
      </c>
      <c r="F115">
        <v>13.769</v>
      </c>
      <c r="G115" t="s">
        <v>29</v>
      </c>
      <c r="H115" t="s">
        <v>13</v>
      </c>
    </row>
    <row r="116" spans="1:8" x14ac:dyDescent="0.35">
      <c r="A116">
        <v>20</v>
      </c>
      <c r="B116" t="str">
        <f t="shared" si="1"/>
        <v>20-30</v>
      </c>
      <c r="C116" t="s">
        <v>6</v>
      </c>
      <c r="D116" t="s">
        <v>12</v>
      </c>
      <c r="E116" t="s">
        <v>12</v>
      </c>
      <c r="F116">
        <v>9.2810000000000006</v>
      </c>
      <c r="G116" t="s">
        <v>30</v>
      </c>
      <c r="H116" t="s">
        <v>13</v>
      </c>
    </row>
    <row r="117" spans="1:8" hidden="1" x14ac:dyDescent="0.35">
      <c r="A117">
        <v>51</v>
      </c>
      <c r="B117" t="str">
        <f t="shared" si="1"/>
        <v>50-60</v>
      </c>
      <c r="C117" t="s">
        <v>9</v>
      </c>
      <c r="D117" t="s">
        <v>7</v>
      </c>
      <c r="E117" t="s">
        <v>7</v>
      </c>
      <c r="F117">
        <v>18.295000000000002</v>
      </c>
      <c r="G117" t="s">
        <v>29</v>
      </c>
      <c r="H117" t="s">
        <v>8</v>
      </c>
    </row>
    <row r="118" spans="1:8" x14ac:dyDescent="0.35">
      <c r="A118">
        <v>67</v>
      </c>
      <c r="B118" t="str">
        <f t="shared" si="1"/>
        <v>60-70</v>
      </c>
      <c r="C118" t="s">
        <v>9</v>
      </c>
      <c r="D118" t="s">
        <v>12</v>
      </c>
      <c r="E118" t="s">
        <v>12</v>
      </c>
      <c r="F118">
        <v>9.5139999999999993</v>
      </c>
      <c r="G118" t="s">
        <v>30</v>
      </c>
      <c r="H118" t="s">
        <v>13</v>
      </c>
    </row>
    <row r="119" spans="1:8" x14ac:dyDescent="0.35">
      <c r="A119">
        <v>40</v>
      </c>
      <c r="B119" t="str">
        <f t="shared" si="1"/>
        <v>40-50</v>
      </c>
      <c r="C119" t="s">
        <v>6</v>
      </c>
      <c r="D119" t="s">
        <v>12</v>
      </c>
      <c r="E119" t="s">
        <v>7</v>
      </c>
      <c r="F119">
        <v>10.103</v>
      </c>
      <c r="G119" t="s">
        <v>29</v>
      </c>
      <c r="H119" t="s">
        <v>13</v>
      </c>
    </row>
    <row r="120" spans="1:8" x14ac:dyDescent="0.35">
      <c r="A120">
        <v>32</v>
      </c>
      <c r="B120" t="str">
        <f t="shared" si="1"/>
        <v>30-40</v>
      </c>
      <c r="C120" t="s">
        <v>6</v>
      </c>
      <c r="D120" t="s">
        <v>7</v>
      </c>
      <c r="E120" t="s">
        <v>12</v>
      </c>
      <c r="F120">
        <v>10.292</v>
      </c>
      <c r="G120" t="s">
        <v>29</v>
      </c>
      <c r="H120" t="s">
        <v>14</v>
      </c>
    </row>
    <row r="121" spans="1:8" hidden="1" x14ac:dyDescent="0.35">
      <c r="A121">
        <v>61</v>
      </c>
      <c r="B121" t="str">
        <f t="shared" si="1"/>
        <v>60-70</v>
      </c>
      <c r="C121" t="s">
        <v>6</v>
      </c>
      <c r="D121" t="s">
        <v>7</v>
      </c>
      <c r="E121" t="s">
        <v>7</v>
      </c>
      <c r="F121">
        <v>25.475000000000001</v>
      </c>
      <c r="G121" t="s">
        <v>18</v>
      </c>
      <c r="H121" t="s">
        <v>8</v>
      </c>
    </row>
    <row r="122" spans="1:8" hidden="1" x14ac:dyDescent="0.35">
      <c r="A122">
        <v>28</v>
      </c>
      <c r="B122" t="str">
        <f t="shared" si="1"/>
        <v>20-30</v>
      </c>
      <c r="C122" t="s">
        <v>9</v>
      </c>
      <c r="D122" t="s">
        <v>12</v>
      </c>
      <c r="E122" t="s">
        <v>7</v>
      </c>
      <c r="F122">
        <v>27.064</v>
      </c>
      <c r="G122" t="s">
        <v>18</v>
      </c>
      <c r="H122" t="s">
        <v>8</v>
      </c>
    </row>
    <row r="123" spans="1:8" hidden="1" x14ac:dyDescent="0.35">
      <c r="A123">
        <v>15</v>
      </c>
      <c r="B123" t="str">
        <f t="shared" si="1"/>
        <v>Minor</v>
      </c>
      <c r="C123" t="s">
        <v>9</v>
      </c>
      <c r="D123" t="s">
        <v>7</v>
      </c>
      <c r="E123" t="s">
        <v>12</v>
      </c>
      <c r="F123">
        <v>17.206</v>
      </c>
      <c r="G123" t="s">
        <v>29</v>
      </c>
      <c r="H123" t="s">
        <v>8</v>
      </c>
    </row>
    <row r="124" spans="1:8" hidden="1" x14ac:dyDescent="0.35">
      <c r="A124">
        <v>34</v>
      </c>
      <c r="B124" t="str">
        <f t="shared" si="1"/>
        <v>30-40</v>
      </c>
      <c r="C124" t="s">
        <v>9</v>
      </c>
      <c r="D124" t="s">
        <v>12</v>
      </c>
      <c r="E124" t="s">
        <v>7</v>
      </c>
      <c r="F124">
        <v>22.456</v>
      </c>
      <c r="G124" t="s">
        <v>18</v>
      </c>
      <c r="H124" t="s">
        <v>8</v>
      </c>
    </row>
    <row r="125" spans="1:8" hidden="1" x14ac:dyDescent="0.35">
      <c r="A125">
        <v>36</v>
      </c>
      <c r="B125" t="str">
        <f t="shared" si="1"/>
        <v>30-40</v>
      </c>
      <c r="C125" t="s">
        <v>6</v>
      </c>
      <c r="D125" t="s">
        <v>12</v>
      </c>
      <c r="E125" t="s">
        <v>7</v>
      </c>
      <c r="F125">
        <v>16.753</v>
      </c>
      <c r="G125" t="s">
        <v>29</v>
      </c>
      <c r="H125" t="s">
        <v>8</v>
      </c>
    </row>
    <row r="126" spans="1:8" x14ac:dyDescent="0.35">
      <c r="A126">
        <v>53</v>
      </c>
      <c r="B126" t="str">
        <f t="shared" si="1"/>
        <v>50-60</v>
      </c>
      <c r="C126" t="s">
        <v>6</v>
      </c>
      <c r="D126" t="s">
        <v>7</v>
      </c>
      <c r="E126" t="s">
        <v>12</v>
      </c>
      <c r="F126">
        <v>12.494999999999999</v>
      </c>
      <c r="G126" t="s">
        <v>29</v>
      </c>
      <c r="H126" t="s">
        <v>15</v>
      </c>
    </row>
    <row r="127" spans="1:8" hidden="1" x14ac:dyDescent="0.35">
      <c r="A127">
        <v>19</v>
      </c>
      <c r="B127" t="str">
        <f t="shared" si="1"/>
        <v>Minor</v>
      </c>
      <c r="C127" t="s">
        <v>6</v>
      </c>
      <c r="D127" t="s">
        <v>7</v>
      </c>
      <c r="E127" t="s">
        <v>12</v>
      </c>
      <c r="F127">
        <v>25.969000000000001</v>
      </c>
      <c r="G127" t="s">
        <v>18</v>
      </c>
      <c r="H127" t="s">
        <v>8</v>
      </c>
    </row>
    <row r="128" spans="1:8" hidden="1" x14ac:dyDescent="0.35">
      <c r="A128">
        <v>66</v>
      </c>
      <c r="B128" t="str">
        <f t="shared" si="1"/>
        <v>60-70</v>
      </c>
      <c r="C128" t="s">
        <v>9</v>
      </c>
      <c r="D128" t="s">
        <v>7</v>
      </c>
      <c r="E128" t="s">
        <v>7</v>
      </c>
      <c r="F128">
        <v>16.347000000000001</v>
      </c>
      <c r="G128" t="s">
        <v>29</v>
      </c>
      <c r="H128" t="s">
        <v>8</v>
      </c>
    </row>
    <row r="129" spans="1:8" x14ac:dyDescent="0.35">
      <c r="A129">
        <v>35</v>
      </c>
      <c r="B129" t="str">
        <f t="shared" si="1"/>
        <v>30-40</v>
      </c>
      <c r="C129" t="s">
        <v>9</v>
      </c>
      <c r="D129" t="s">
        <v>12</v>
      </c>
      <c r="E129" t="s">
        <v>12</v>
      </c>
      <c r="F129">
        <v>7.8449999999999998</v>
      </c>
      <c r="G129" t="s">
        <v>30</v>
      </c>
      <c r="H129" t="s">
        <v>13</v>
      </c>
    </row>
    <row r="130" spans="1:8" hidden="1" x14ac:dyDescent="0.35">
      <c r="A130">
        <v>47</v>
      </c>
      <c r="B130" t="str">
        <f t="shared" si="1"/>
        <v>40-50</v>
      </c>
      <c r="C130" t="s">
        <v>9</v>
      </c>
      <c r="D130" t="s">
        <v>10</v>
      </c>
      <c r="E130" t="s">
        <v>12</v>
      </c>
      <c r="F130">
        <v>33.542000000000002</v>
      </c>
      <c r="G130" t="s">
        <v>19</v>
      </c>
      <c r="H130" t="s">
        <v>8</v>
      </c>
    </row>
    <row r="131" spans="1:8" x14ac:dyDescent="0.35">
      <c r="A131">
        <v>32</v>
      </c>
      <c r="B131" t="str">
        <f t="shared" ref="B131:B194" si="2">IF(A131&gt;69,"70+",IF(A131&gt;59,"60-70",IF(A131&gt;49,"50-60",IF(A131&gt;39,"40-50",IF(A131&gt;29,"30-40",IF(A131&gt;19,"20-30","Minor"))))))</f>
        <v>30-40</v>
      </c>
      <c r="C131" t="s">
        <v>6</v>
      </c>
      <c r="D131" t="s">
        <v>12</v>
      </c>
      <c r="E131" t="s">
        <v>7</v>
      </c>
      <c r="F131">
        <v>7.4770000000000003</v>
      </c>
      <c r="G131" t="s">
        <v>30</v>
      </c>
      <c r="H131" t="s">
        <v>13</v>
      </c>
    </row>
    <row r="132" spans="1:8" hidden="1" x14ac:dyDescent="0.35">
      <c r="A132">
        <v>70</v>
      </c>
      <c r="B132" t="str">
        <f t="shared" si="2"/>
        <v>70+</v>
      </c>
      <c r="C132" t="s">
        <v>6</v>
      </c>
      <c r="D132" t="s">
        <v>12</v>
      </c>
      <c r="E132" t="s">
        <v>7</v>
      </c>
      <c r="F132">
        <v>20.489000000000001</v>
      </c>
      <c r="G132" t="s">
        <v>18</v>
      </c>
      <c r="H132" t="s">
        <v>8</v>
      </c>
    </row>
    <row r="133" spans="1:8" hidden="1" x14ac:dyDescent="0.35">
      <c r="A133">
        <v>52</v>
      </c>
      <c r="B133" t="str">
        <f t="shared" si="2"/>
        <v>50-60</v>
      </c>
      <c r="C133" t="s">
        <v>9</v>
      </c>
      <c r="D133" t="s">
        <v>10</v>
      </c>
      <c r="E133" t="s">
        <v>12</v>
      </c>
      <c r="F133">
        <v>32.921999999999997</v>
      </c>
      <c r="G133" t="s">
        <v>19</v>
      </c>
      <c r="H133" t="s">
        <v>8</v>
      </c>
    </row>
    <row r="134" spans="1:8" x14ac:dyDescent="0.35">
      <c r="A134">
        <v>49</v>
      </c>
      <c r="B134" t="str">
        <f t="shared" si="2"/>
        <v>40-50</v>
      </c>
      <c r="C134" t="s">
        <v>9</v>
      </c>
      <c r="D134" t="s">
        <v>10</v>
      </c>
      <c r="E134" t="s">
        <v>12</v>
      </c>
      <c r="F134">
        <v>13.598000000000001</v>
      </c>
      <c r="G134" t="s">
        <v>29</v>
      </c>
      <c r="H134" t="s">
        <v>13</v>
      </c>
    </row>
    <row r="135" spans="1:8" hidden="1" x14ac:dyDescent="0.35">
      <c r="A135">
        <v>24</v>
      </c>
      <c r="B135" t="str">
        <f t="shared" si="2"/>
        <v>20-30</v>
      </c>
      <c r="C135" t="s">
        <v>9</v>
      </c>
      <c r="D135" t="s">
        <v>12</v>
      </c>
      <c r="E135" t="s">
        <v>7</v>
      </c>
      <c r="F135">
        <v>25.786000000000001</v>
      </c>
      <c r="G135" t="s">
        <v>18</v>
      </c>
      <c r="H135" t="s">
        <v>8</v>
      </c>
    </row>
    <row r="136" spans="1:8" hidden="1" x14ac:dyDescent="0.35">
      <c r="A136">
        <v>42</v>
      </c>
      <c r="B136" t="str">
        <f t="shared" si="2"/>
        <v>40-50</v>
      </c>
      <c r="C136" t="s">
        <v>6</v>
      </c>
      <c r="D136" t="s">
        <v>7</v>
      </c>
      <c r="E136" t="s">
        <v>7</v>
      </c>
      <c r="F136">
        <v>21.036000000000001</v>
      </c>
      <c r="G136" t="s">
        <v>18</v>
      </c>
      <c r="H136" t="s">
        <v>8</v>
      </c>
    </row>
    <row r="137" spans="1:8" x14ac:dyDescent="0.35">
      <c r="A137">
        <v>74</v>
      </c>
      <c r="B137" t="str">
        <f t="shared" si="2"/>
        <v>70+</v>
      </c>
      <c r="C137" t="s">
        <v>9</v>
      </c>
      <c r="D137" t="s">
        <v>10</v>
      </c>
      <c r="E137" t="s">
        <v>12</v>
      </c>
      <c r="F137">
        <v>11.939</v>
      </c>
      <c r="G137" t="s">
        <v>29</v>
      </c>
      <c r="H137" t="s">
        <v>13</v>
      </c>
    </row>
    <row r="138" spans="1:8" x14ac:dyDescent="0.35">
      <c r="A138">
        <v>55</v>
      </c>
      <c r="B138" t="str">
        <f t="shared" si="2"/>
        <v>50-60</v>
      </c>
      <c r="C138" t="s">
        <v>6</v>
      </c>
      <c r="D138" t="s">
        <v>7</v>
      </c>
      <c r="E138" t="s">
        <v>7</v>
      </c>
      <c r="F138">
        <v>10.977</v>
      </c>
      <c r="G138" t="s">
        <v>29</v>
      </c>
      <c r="H138" t="s">
        <v>15</v>
      </c>
    </row>
    <row r="139" spans="1:8" x14ac:dyDescent="0.35">
      <c r="A139">
        <v>35</v>
      </c>
      <c r="B139" t="str">
        <f t="shared" si="2"/>
        <v>30-40</v>
      </c>
      <c r="C139" t="s">
        <v>6</v>
      </c>
      <c r="D139" t="s">
        <v>7</v>
      </c>
      <c r="E139" t="s">
        <v>7</v>
      </c>
      <c r="F139">
        <v>12.894</v>
      </c>
      <c r="G139" t="s">
        <v>29</v>
      </c>
      <c r="H139" t="s">
        <v>14</v>
      </c>
    </row>
    <row r="140" spans="1:8" x14ac:dyDescent="0.35">
      <c r="A140">
        <v>51</v>
      </c>
      <c r="B140" t="str">
        <f t="shared" si="2"/>
        <v>50-60</v>
      </c>
      <c r="C140" t="s">
        <v>9</v>
      </c>
      <c r="D140" t="s">
        <v>7</v>
      </c>
      <c r="E140" t="s">
        <v>12</v>
      </c>
      <c r="F140">
        <v>11.343</v>
      </c>
      <c r="G140" t="s">
        <v>29</v>
      </c>
      <c r="H140" t="s">
        <v>15</v>
      </c>
    </row>
    <row r="141" spans="1:8" x14ac:dyDescent="0.35">
      <c r="A141">
        <v>69</v>
      </c>
      <c r="B141" t="str">
        <f t="shared" si="2"/>
        <v>60-70</v>
      </c>
      <c r="C141" t="s">
        <v>6</v>
      </c>
      <c r="D141" t="s">
        <v>12</v>
      </c>
      <c r="E141" t="s">
        <v>7</v>
      </c>
      <c r="F141">
        <v>10.065</v>
      </c>
      <c r="G141" t="s">
        <v>29</v>
      </c>
      <c r="H141" t="s">
        <v>13</v>
      </c>
    </row>
    <row r="142" spans="1:8" x14ac:dyDescent="0.35">
      <c r="A142">
        <v>49</v>
      </c>
      <c r="B142" t="str">
        <f t="shared" si="2"/>
        <v>40-50</v>
      </c>
      <c r="C142" t="s">
        <v>9</v>
      </c>
      <c r="D142" t="s">
        <v>7</v>
      </c>
      <c r="E142" t="s">
        <v>12</v>
      </c>
      <c r="F142">
        <v>6.2690000000000001</v>
      </c>
      <c r="G142" t="s">
        <v>30</v>
      </c>
      <c r="H142" t="s">
        <v>14</v>
      </c>
    </row>
    <row r="143" spans="1:8" hidden="1" x14ac:dyDescent="0.35">
      <c r="A143">
        <v>64</v>
      </c>
      <c r="B143" t="str">
        <f t="shared" si="2"/>
        <v>60-70</v>
      </c>
      <c r="C143" t="s">
        <v>6</v>
      </c>
      <c r="D143" t="s">
        <v>10</v>
      </c>
      <c r="E143" t="s">
        <v>12</v>
      </c>
      <c r="F143">
        <v>25.741</v>
      </c>
      <c r="G143" t="s">
        <v>18</v>
      </c>
      <c r="H143" t="s">
        <v>8</v>
      </c>
    </row>
    <row r="144" spans="1:8" x14ac:dyDescent="0.35">
      <c r="A144">
        <v>60</v>
      </c>
      <c r="B144" t="str">
        <f t="shared" si="2"/>
        <v>60-70</v>
      </c>
      <c r="C144" t="s">
        <v>9</v>
      </c>
      <c r="D144" t="s">
        <v>7</v>
      </c>
      <c r="E144" t="s">
        <v>12</v>
      </c>
      <c r="F144">
        <v>8.6210000000000004</v>
      </c>
      <c r="G144" t="s">
        <v>30</v>
      </c>
      <c r="H144" t="s">
        <v>15</v>
      </c>
    </row>
    <row r="145" spans="1:8" hidden="1" x14ac:dyDescent="0.35">
      <c r="A145">
        <v>74</v>
      </c>
      <c r="B145" t="str">
        <f t="shared" si="2"/>
        <v>70+</v>
      </c>
      <c r="C145" t="s">
        <v>9</v>
      </c>
      <c r="D145" t="s">
        <v>7</v>
      </c>
      <c r="E145" t="s">
        <v>12</v>
      </c>
      <c r="F145">
        <v>15.436</v>
      </c>
      <c r="G145" t="s">
        <v>29</v>
      </c>
      <c r="H145" t="s">
        <v>8</v>
      </c>
    </row>
    <row r="146" spans="1:8" x14ac:dyDescent="0.35">
      <c r="A146">
        <v>39</v>
      </c>
      <c r="B146" t="str">
        <f t="shared" si="2"/>
        <v>30-40</v>
      </c>
      <c r="C146" t="s">
        <v>9</v>
      </c>
      <c r="D146" t="s">
        <v>7</v>
      </c>
      <c r="E146" t="s">
        <v>7</v>
      </c>
      <c r="F146">
        <v>9.6639999999999997</v>
      </c>
      <c r="G146" t="s">
        <v>30</v>
      </c>
      <c r="H146" t="s">
        <v>14</v>
      </c>
    </row>
    <row r="147" spans="1:8" x14ac:dyDescent="0.35">
      <c r="A147">
        <v>61</v>
      </c>
      <c r="B147" t="str">
        <f t="shared" si="2"/>
        <v>60-70</v>
      </c>
      <c r="C147" t="s">
        <v>9</v>
      </c>
      <c r="D147" t="s">
        <v>12</v>
      </c>
      <c r="E147" t="s">
        <v>7</v>
      </c>
      <c r="F147">
        <v>9.4429999999999996</v>
      </c>
      <c r="G147" t="s">
        <v>30</v>
      </c>
      <c r="H147" t="s">
        <v>13</v>
      </c>
    </row>
    <row r="148" spans="1:8" x14ac:dyDescent="0.35">
      <c r="A148">
        <v>37</v>
      </c>
      <c r="B148" t="str">
        <f t="shared" si="2"/>
        <v>30-40</v>
      </c>
      <c r="C148" t="s">
        <v>6</v>
      </c>
      <c r="D148" t="s">
        <v>10</v>
      </c>
      <c r="E148" t="s">
        <v>12</v>
      </c>
      <c r="F148">
        <v>12.006</v>
      </c>
      <c r="G148" t="s">
        <v>29</v>
      </c>
      <c r="H148" t="s">
        <v>13</v>
      </c>
    </row>
    <row r="149" spans="1:8" x14ac:dyDescent="0.35">
      <c r="A149">
        <v>26</v>
      </c>
      <c r="B149" t="str">
        <f t="shared" si="2"/>
        <v>20-30</v>
      </c>
      <c r="C149" t="s">
        <v>6</v>
      </c>
      <c r="D149" t="s">
        <v>7</v>
      </c>
      <c r="E149" t="s">
        <v>12</v>
      </c>
      <c r="F149">
        <v>12.307</v>
      </c>
      <c r="G149" t="s">
        <v>29</v>
      </c>
      <c r="H149" t="s">
        <v>14</v>
      </c>
    </row>
    <row r="150" spans="1:8" x14ac:dyDescent="0.35">
      <c r="A150">
        <v>61</v>
      </c>
      <c r="B150" t="str">
        <f t="shared" si="2"/>
        <v>60-70</v>
      </c>
      <c r="C150" t="s">
        <v>6</v>
      </c>
      <c r="D150" t="s">
        <v>10</v>
      </c>
      <c r="E150" t="s">
        <v>12</v>
      </c>
      <c r="F150">
        <v>7.34</v>
      </c>
      <c r="G150" t="s">
        <v>30</v>
      </c>
      <c r="H150" t="s">
        <v>13</v>
      </c>
    </row>
    <row r="151" spans="1:8" x14ac:dyDescent="0.35">
      <c r="A151">
        <v>22</v>
      </c>
      <c r="B151" t="str">
        <f t="shared" si="2"/>
        <v>20-30</v>
      </c>
      <c r="C151" t="s">
        <v>9</v>
      </c>
      <c r="D151" t="s">
        <v>10</v>
      </c>
      <c r="E151" t="s">
        <v>7</v>
      </c>
      <c r="F151">
        <v>8.1509999999999998</v>
      </c>
      <c r="G151" t="s">
        <v>30</v>
      </c>
      <c r="H151" t="s">
        <v>11</v>
      </c>
    </row>
    <row r="152" spans="1:8" x14ac:dyDescent="0.35">
      <c r="A152">
        <v>49</v>
      </c>
      <c r="B152" t="str">
        <f t="shared" si="2"/>
        <v>40-50</v>
      </c>
      <c r="C152" t="s">
        <v>9</v>
      </c>
      <c r="D152" t="s">
        <v>7</v>
      </c>
      <c r="E152" t="s">
        <v>12</v>
      </c>
      <c r="F152">
        <v>8.6999999999999993</v>
      </c>
      <c r="G152" t="s">
        <v>30</v>
      </c>
      <c r="H152" t="s">
        <v>14</v>
      </c>
    </row>
    <row r="153" spans="1:8" x14ac:dyDescent="0.35">
      <c r="A153">
        <v>68</v>
      </c>
      <c r="B153" t="str">
        <f t="shared" si="2"/>
        <v>60-70</v>
      </c>
      <c r="C153" t="s">
        <v>9</v>
      </c>
      <c r="D153" t="s">
        <v>7</v>
      </c>
      <c r="E153" t="s">
        <v>7</v>
      </c>
      <c r="F153">
        <v>11.009</v>
      </c>
      <c r="G153" t="s">
        <v>29</v>
      </c>
      <c r="H153" t="s">
        <v>15</v>
      </c>
    </row>
    <row r="154" spans="1:8" x14ac:dyDescent="0.35">
      <c r="A154">
        <v>55</v>
      </c>
      <c r="B154" t="str">
        <f t="shared" si="2"/>
        <v>50-60</v>
      </c>
      <c r="C154" t="s">
        <v>9</v>
      </c>
      <c r="D154" t="s">
        <v>12</v>
      </c>
      <c r="E154" t="s">
        <v>12</v>
      </c>
      <c r="F154">
        <v>7.2610000000000001</v>
      </c>
      <c r="G154" t="s">
        <v>30</v>
      </c>
      <c r="H154" t="s">
        <v>13</v>
      </c>
    </row>
    <row r="155" spans="1:8" x14ac:dyDescent="0.35">
      <c r="A155">
        <v>72</v>
      </c>
      <c r="B155" t="str">
        <f t="shared" si="2"/>
        <v>70+</v>
      </c>
      <c r="C155" t="s">
        <v>6</v>
      </c>
      <c r="D155" t="s">
        <v>10</v>
      </c>
      <c r="E155" t="s">
        <v>12</v>
      </c>
      <c r="F155">
        <v>14.641999999999999</v>
      </c>
      <c r="G155" t="s">
        <v>29</v>
      </c>
      <c r="H155" t="s">
        <v>13</v>
      </c>
    </row>
    <row r="156" spans="1:8" hidden="1" x14ac:dyDescent="0.35">
      <c r="A156">
        <v>37</v>
      </c>
      <c r="B156" t="str">
        <f t="shared" si="2"/>
        <v>30-40</v>
      </c>
      <c r="C156" t="s">
        <v>9</v>
      </c>
      <c r="D156" t="s">
        <v>10</v>
      </c>
      <c r="E156" t="s">
        <v>12</v>
      </c>
      <c r="F156">
        <v>16.724</v>
      </c>
      <c r="G156" t="s">
        <v>29</v>
      </c>
      <c r="H156" t="s">
        <v>8</v>
      </c>
    </row>
    <row r="157" spans="1:8" x14ac:dyDescent="0.35">
      <c r="A157">
        <v>49</v>
      </c>
      <c r="B157" t="str">
        <f t="shared" si="2"/>
        <v>40-50</v>
      </c>
      <c r="C157" t="s">
        <v>9</v>
      </c>
      <c r="D157" t="s">
        <v>10</v>
      </c>
      <c r="E157" t="s">
        <v>7</v>
      </c>
      <c r="F157">
        <v>10.537000000000001</v>
      </c>
      <c r="G157" t="s">
        <v>29</v>
      </c>
      <c r="H157" t="s">
        <v>11</v>
      </c>
    </row>
    <row r="158" spans="1:8" x14ac:dyDescent="0.35">
      <c r="A158">
        <v>31</v>
      </c>
      <c r="B158" t="str">
        <f t="shared" si="2"/>
        <v>30-40</v>
      </c>
      <c r="C158" t="s">
        <v>9</v>
      </c>
      <c r="D158" t="s">
        <v>7</v>
      </c>
      <c r="E158" t="s">
        <v>12</v>
      </c>
      <c r="F158">
        <v>11.227</v>
      </c>
      <c r="G158" t="s">
        <v>29</v>
      </c>
      <c r="H158" t="s">
        <v>14</v>
      </c>
    </row>
    <row r="159" spans="1:8" hidden="1" x14ac:dyDescent="0.35">
      <c r="A159">
        <v>53</v>
      </c>
      <c r="B159" t="str">
        <f t="shared" si="2"/>
        <v>50-60</v>
      </c>
      <c r="C159" t="s">
        <v>9</v>
      </c>
      <c r="D159" t="s">
        <v>10</v>
      </c>
      <c r="E159" t="s">
        <v>7</v>
      </c>
      <c r="F159">
        <v>22.963000000000001</v>
      </c>
      <c r="G159" t="s">
        <v>18</v>
      </c>
      <c r="H159" t="s">
        <v>8</v>
      </c>
    </row>
    <row r="160" spans="1:8" x14ac:dyDescent="0.35">
      <c r="A160">
        <v>59</v>
      </c>
      <c r="B160" t="str">
        <f t="shared" si="2"/>
        <v>50-60</v>
      </c>
      <c r="C160" t="s">
        <v>6</v>
      </c>
      <c r="D160" t="s">
        <v>10</v>
      </c>
      <c r="E160" t="s">
        <v>7</v>
      </c>
      <c r="F160">
        <v>10.444000000000001</v>
      </c>
      <c r="G160" t="s">
        <v>29</v>
      </c>
      <c r="H160" t="s">
        <v>11</v>
      </c>
    </row>
    <row r="161" spans="1:8" x14ac:dyDescent="0.35">
      <c r="A161">
        <v>34</v>
      </c>
      <c r="B161" t="str">
        <f t="shared" si="2"/>
        <v>30-40</v>
      </c>
      <c r="C161" t="s">
        <v>6</v>
      </c>
      <c r="D161" t="s">
        <v>10</v>
      </c>
      <c r="E161" t="s">
        <v>12</v>
      </c>
      <c r="F161">
        <v>12.923</v>
      </c>
      <c r="G161" t="s">
        <v>29</v>
      </c>
      <c r="H161" t="s">
        <v>13</v>
      </c>
    </row>
    <row r="162" spans="1:8" x14ac:dyDescent="0.35">
      <c r="A162">
        <v>30</v>
      </c>
      <c r="B162" t="str">
        <f t="shared" si="2"/>
        <v>30-40</v>
      </c>
      <c r="C162" t="s">
        <v>6</v>
      </c>
      <c r="D162" t="s">
        <v>12</v>
      </c>
      <c r="E162" t="s">
        <v>7</v>
      </c>
      <c r="F162">
        <v>10.443</v>
      </c>
      <c r="G162" t="s">
        <v>29</v>
      </c>
      <c r="H162" t="s">
        <v>13</v>
      </c>
    </row>
    <row r="163" spans="1:8" x14ac:dyDescent="0.35">
      <c r="A163">
        <v>57</v>
      </c>
      <c r="B163" t="str">
        <f t="shared" si="2"/>
        <v>50-60</v>
      </c>
      <c r="C163" t="s">
        <v>6</v>
      </c>
      <c r="D163" t="s">
        <v>7</v>
      </c>
      <c r="E163" t="s">
        <v>12</v>
      </c>
      <c r="F163">
        <v>9.9450000000000003</v>
      </c>
      <c r="G163" t="s">
        <v>30</v>
      </c>
      <c r="H163" t="s">
        <v>15</v>
      </c>
    </row>
    <row r="164" spans="1:8" x14ac:dyDescent="0.35">
      <c r="A164">
        <v>43</v>
      </c>
      <c r="B164" t="str">
        <f t="shared" si="2"/>
        <v>40-50</v>
      </c>
      <c r="C164" t="s">
        <v>9</v>
      </c>
      <c r="D164" t="s">
        <v>12</v>
      </c>
      <c r="E164" t="s">
        <v>12</v>
      </c>
      <c r="F164">
        <v>12.859</v>
      </c>
      <c r="G164" t="s">
        <v>29</v>
      </c>
      <c r="H164" t="s">
        <v>13</v>
      </c>
    </row>
    <row r="165" spans="1:8" hidden="1" x14ac:dyDescent="0.35">
      <c r="A165">
        <v>21</v>
      </c>
      <c r="B165" t="str">
        <f t="shared" si="2"/>
        <v>20-30</v>
      </c>
      <c r="C165" t="s">
        <v>6</v>
      </c>
      <c r="D165" t="s">
        <v>7</v>
      </c>
      <c r="E165" t="s">
        <v>12</v>
      </c>
      <c r="F165">
        <v>28.632000000000001</v>
      </c>
      <c r="G165" t="s">
        <v>18</v>
      </c>
      <c r="H165" t="s">
        <v>8</v>
      </c>
    </row>
    <row r="166" spans="1:8" hidden="1" x14ac:dyDescent="0.35">
      <c r="A166">
        <v>16</v>
      </c>
      <c r="B166" t="str">
        <f t="shared" si="2"/>
        <v>Minor</v>
      </c>
      <c r="C166" t="s">
        <v>9</v>
      </c>
      <c r="D166" t="s">
        <v>7</v>
      </c>
      <c r="E166" t="s">
        <v>12</v>
      </c>
      <c r="F166">
        <v>19.007000000000001</v>
      </c>
      <c r="G166" t="s">
        <v>29</v>
      </c>
      <c r="H166" t="s">
        <v>8</v>
      </c>
    </row>
    <row r="167" spans="1:8" hidden="1" x14ac:dyDescent="0.35">
      <c r="A167">
        <v>38</v>
      </c>
      <c r="B167" t="str">
        <f t="shared" si="2"/>
        <v>30-40</v>
      </c>
      <c r="C167" t="s">
        <v>9</v>
      </c>
      <c r="D167" t="s">
        <v>10</v>
      </c>
      <c r="E167" t="s">
        <v>7</v>
      </c>
      <c r="F167">
        <v>18.295000000000002</v>
      </c>
      <c r="G167" t="s">
        <v>29</v>
      </c>
      <c r="H167" t="s">
        <v>8</v>
      </c>
    </row>
    <row r="168" spans="1:8" hidden="1" x14ac:dyDescent="0.35">
      <c r="A168">
        <v>58</v>
      </c>
      <c r="B168" t="str">
        <f t="shared" si="2"/>
        <v>50-60</v>
      </c>
      <c r="C168" t="s">
        <v>6</v>
      </c>
      <c r="D168" t="s">
        <v>10</v>
      </c>
      <c r="E168" t="s">
        <v>7</v>
      </c>
      <c r="F168">
        <v>26.645</v>
      </c>
      <c r="G168" t="s">
        <v>18</v>
      </c>
      <c r="H168" t="s">
        <v>8</v>
      </c>
    </row>
    <row r="169" spans="1:8" x14ac:dyDescent="0.35">
      <c r="A169">
        <v>57</v>
      </c>
      <c r="B169" t="str">
        <f t="shared" si="2"/>
        <v>50-60</v>
      </c>
      <c r="C169" t="s">
        <v>6</v>
      </c>
      <c r="D169" t="s">
        <v>12</v>
      </c>
      <c r="E169" t="s">
        <v>7</v>
      </c>
      <c r="F169">
        <v>14.215999999999999</v>
      </c>
      <c r="G169" t="s">
        <v>29</v>
      </c>
      <c r="H169" t="s">
        <v>13</v>
      </c>
    </row>
    <row r="170" spans="1:8" hidden="1" x14ac:dyDescent="0.35">
      <c r="A170">
        <v>51</v>
      </c>
      <c r="B170" t="str">
        <f t="shared" si="2"/>
        <v>50-60</v>
      </c>
      <c r="C170" t="s">
        <v>6</v>
      </c>
      <c r="D170" t="s">
        <v>10</v>
      </c>
      <c r="E170" t="s">
        <v>12</v>
      </c>
      <c r="F170">
        <v>23.003</v>
      </c>
      <c r="G170" t="s">
        <v>18</v>
      </c>
      <c r="H170" t="s">
        <v>8</v>
      </c>
    </row>
    <row r="171" spans="1:8" x14ac:dyDescent="0.35">
      <c r="A171">
        <v>20</v>
      </c>
      <c r="B171" t="str">
        <f t="shared" si="2"/>
        <v>20-30</v>
      </c>
      <c r="C171" t="s">
        <v>6</v>
      </c>
      <c r="D171" t="s">
        <v>7</v>
      </c>
      <c r="E171" t="s">
        <v>7</v>
      </c>
      <c r="F171">
        <v>11.262</v>
      </c>
      <c r="G171" t="s">
        <v>29</v>
      </c>
      <c r="H171" t="s">
        <v>14</v>
      </c>
    </row>
    <row r="172" spans="1:8" x14ac:dyDescent="0.35">
      <c r="A172">
        <v>28</v>
      </c>
      <c r="B172" t="str">
        <f t="shared" si="2"/>
        <v>20-30</v>
      </c>
      <c r="C172" t="s">
        <v>6</v>
      </c>
      <c r="D172" t="s">
        <v>12</v>
      </c>
      <c r="E172" t="s">
        <v>7</v>
      </c>
      <c r="F172">
        <v>12.879</v>
      </c>
      <c r="G172" t="s">
        <v>29</v>
      </c>
      <c r="H172" t="s">
        <v>13</v>
      </c>
    </row>
    <row r="173" spans="1:8" x14ac:dyDescent="0.35">
      <c r="A173">
        <v>45</v>
      </c>
      <c r="B173" t="str">
        <f t="shared" si="2"/>
        <v>40-50</v>
      </c>
      <c r="C173" t="s">
        <v>9</v>
      </c>
      <c r="D173" t="s">
        <v>10</v>
      </c>
      <c r="E173" t="s">
        <v>12</v>
      </c>
      <c r="F173">
        <v>10.016999999999999</v>
      </c>
      <c r="G173" t="s">
        <v>29</v>
      </c>
      <c r="H173" t="s">
        <v>13</v>
      </c>
    </row>
    <row r="174" spans="1:8" hidden="1" x14ac:dyDescent="0.35">
      <c r="A174">
        <v>39</v>
      </c>
      <c r="B174" t="str">
        <f t="shared" si="2"/>
        <v>30-40</v>
      </c>
      <c r="C174" t="s">
        <v>6</v>
      </c>
      <c r="D174" t="s">
        <v>12</v>
      </c>
      <c r="E174" t="s">
        <v>12</v>
      </c>
      <c r="F174">
        <v>17.225000000000001</v>
      </c>
      <c r="G174" t="s">
        <v>29</v>
      </c>
      <c r="H174" t="s">
        <v>8</v>
      </c>
    </row>
    <row r="175" spans="1:8" hidden="1" x14ac:dyDescent="0.35">
      <c r="A175">
        <v>41</v>
      </c>
      <c r="B175" t="str">
        <f t="shared" si="2"/>
        <v>40-50</v>
      </c>
      <c r="C175" t="s">
        <v>6</v>
      </c>
      <c r="D175" t="s">
        <v>10</v>
      </c>
      <c r="E175" t="s">
        <v>12</v>
      </c>
      <c r="F175">
        <v>18.739000000000001</v>
      </c>
      <c r="G175" t="s">
        <v>29</v>
      </c>
      <c r="H175" t="s">
        <v>8</v>
      </c>
    </row>
    <row r="176" spans="1:8" x14ac:dyDescent="0.35">
      <c r="A176">
        <v>42</v>
      </c>
      <c r="B176" t="str">
        <f t="shared" si="2"/>
        <v>40-50</v>
      </c>
      <c r="C176" t="s">
        <v>9</v>
      </c>
      <c r="D176" t="s">
        <v>7</v>
      </c>
      <c r="E176" t="s">
        <v>12</v>
      </c>
      <c r="F176">
        <v>12.766</v>
      </c>
      <c r="G176" t="s">
        <v>29</v>
      </c>
      <c r="H176" t="s">
        <v>14</v>
      </c>
    </row>
    <row r="177" spans="1:8" hidden="1" x14ac:dyDescent="0.35">
      <c r="A177">
        <v>73</v>
      </c>
      <c r="B177" t="str">
        <f t="shared" si="2"/>
        <v>70+</v>
      </c>
      <c r="C177" t="s">
        <v>6</v>
      </c>
      <c r="D177" t="s">
        <v>7</v>
      </c>
      <c r="E177" t="s">
        <v>7</v>
      </c>
      <c r="F177">
        <v>18.347999999999999</v>
      </c>
      <c r="G177" t="s">
        <v>29</v>
      </c>
      <c r="H177" t="s">
        <v>8</v>
      </c>
    </row>
    <row r="178" spans="1:8" x14ac:dyDescent="0.35">
      <c r="A178">
        <v>48</v>
      </c>
      <c r="B178" t="str">
        <f t="shared" si="2"/>
        <v>40-50</v>
      </c>
      <c r="C178" t="s">
        <v>9</v>
      </c>
      <c r="D178" t="s">
        <v>7</v>
      </c>
      <c r="E178" t="s">
        <v>12</v>
      </c>
      <c r="F178">
        <v>10.446</v>
      </c>
      <c r="G178" t="s">
        <v>29</v>
      </c>
      <c r="H178" t="s">
        <v>14</v>
      </c>
    </row>
    <row r="179" spans="1:8" hidden="1" x14ac:dyDescent="0.35">
      <c r="A179">
        <v>25</v>
      </c>
      <c r="B179" t="str">
        <f t="shared" si="2"/>
        <v>20-30</v>
      </c>
      <c r="C179" t="s">
        <v>9</v>
      </c>
      <c r="D179" t="s">
        <v>12</v>
      </c>
      <c r="E179" t="s">
        <v>7</v>
      </c>
      <c r="F179">
        <v>19.010999999999999</v>
      </c>
      <c r="G179" t="s">
        <v>29</v>
      </c>
      <c r="H179" t="s">
        <v>8</v>
      </c>
    </row>
    <row r="180" spans="1:8" hidden="1" x14ac:dyDescent="0.35">
      <c r="A180">
        <v>39</v>
      </c>
      <c r="B180" t="str">
        <f t="shared" si="2"/>
        <v>30-40</v>
      </c>
      <c r="C180" t="s">
        <v>9</v>
      </c>
      <c r="D180" t="s">
        <v>12</v>
      </c>
      <c r="E180" t="s">
        <v>7</v>
      </c>
      <c r="F180">
        <v>15.968999999999999</v>
      </c>
      <c r="G180" t="s">
        <v>29</v>
      </c>
      <c r="H180" t="s">
        <v>8</v>
      </c>
    </row>
    <row r="181" spans="1:8" hidden="1" x14ac:dyDescent="0.35">
      <c r="A181">
        <v>67</v>
      </c>
      <c r="B181" t="str">
        <f t="shared" si="2"/>
        <v>60-70</v>
      </c>
      <c r="C181" t="s">
        <v>6</v>
      </c>
      <c r="D181" t="s">
        <v>12</v>
      </c>
      <c r="E181" t="s">
        <v>7</v>
      </c>
      <c r="F181">
        <v>15.891</v>
      </c>
      <c r="G181" t="s">
        <v>29</v>
      </c>
      <c r="H181" t="s">
        <v>8</v>
      </c>
    </row>
    <row r="182" spans="1:8" hidden="1" x14ac:dyDescent="0.35">
      <c r="A182">
        <v>22</v>
      </c>
      <c r="B182" t="str">
        <f t="shared" si="2"/>
        <v>20-30</v>
      </c>
      <c r="C182" t="s">
        <v>6</v>
      </c>
      <c r="D182" t="s">
        <v>7</v>
      </c>
      <c r="E182" t="s">
        <v>12</v>
      </c>
      <c r="F182">
        <v>22.818000000000001</v>
      </c>
      <c r="G182" t="s">
        <v>18</v>
      </c>
      <c r="H182" t="s">
        <v>8</v>
      </c>
    </row>
    <row r="183" spans="1:8" x14ac:dyDescent="0.35">
      <c r="A183">
        <v>59</v>
      </c>
      <c r="B183" t="str">
        <f t="shared" si="2"/>
        <v>50-60</v>
      </c>
      <c r="C183" t="s">
        <v>6</v>
      </c>
      <c r="D183" t="s">
        <v>12</v>
      </c>
      <c r="E183" t="s">
        <v>7</v>
      </c>
      <c r="F183">
        <v>13.884</v>
      </c>
      <c r="G183" t="s">
        <v>29</v>
      </c>
      <c r="H183" t="s">
        <v>13</v>
      </c>
    </row>
    <row r="184" spans="1:8" x14ac:dyDescent="0.35">
      <c r="A184">
        <v>20</v>
      </c>
      <c r="B184" t="str">
        <f t="shared" si="2"/>
        <v>20-30</v>
      </c>
      <c r="C184" t="s">
        <v>6</v>
      </c>
      <c r="D184" t="s">
        <v>10</v>
      </c>
      <c r="E184" t="s">
        <v>12</v>
      </c>
      <c r="F184">
        <v>11.686</v>
      </c>
      <c r="G184" t="s">
        <v>29</v>
      </c>
      <c r="H184" t="s">
        <v>13</v>
      </c>
    </row>
    <row r="185" spans="1:8" hidden="1" x14ac:dyDescent="0.35">
      <c r="A185">
        <v>36</v>
      </c>
      <c r="B185" t="str">
        <f t="shared" si="2"/>
        <v>30-40</v>
      </c>
      <c r="C185" t="s">
        <v>6</v>
      </c>
      <c r="D185" t="s">
        <v>7</v>
      </c>
      <c r="E185" t="s">
        <v>12</v>
      </c>
      <c r="F185">
        <v>15.49</v>
      </c>
      <c r="G185" t="s">
        <v>29</v>
      </c>
      <c r="H185" t="s">
        <v>8</v>
      </c>
    </row>
    <row r="186" spans="1:8" hidden="1" x14ac:dyDescent="0.35">
      <c r="A186">
        <v>18</v>
      </c>
      <c r="B186" t="str">
        <f t="shared" si="2"/>
        <v>Minor</v>
      </c>
      <c r="C186" t="s">
        <v>6</v>
      </c>
      <c r="D186" t="s">
        <v>7</v>
      </c>
      <c r="E186" t="s">
        <v>7</v>
      </c>
      <c r="F186">
        <v>37.188000000000002</v>
      </c>
      <c r="G186" t="s">
        <v>19</v>
      </c>
      <c r="H186" t="s">
        <v>8</v>
      </c>
    </row>
    <row r="187" spans="1:8" hidden="1" x14ac:dyDescent="0.35">
      <c r="A187">
        <v>57</v>
      </c>
      <c r="B187" t="str">
        <f t="shared" si="2"/>
        <v>50-60</v>
      </c>
      <c r="C187" t="s">
        <v>6</v>
      </c>
      <c r="D187" t="s">
        <v>12</v>
      </c>
      <c r="E187" t="s">
        <v>12</v>
      </c>
      <c r="F187">
        <v>25.893000000000001</v>
      </c>
      <c r="G187" t="s">
        <v>18</v>
      </c>
      <c r="H187" t="s">
        <v>8</v>
      </c>
    </row>
    <row r="188" spans="1:8" x14ac:dyDescent="0.35">
      <c r="A188">
        <v>70</v>
      </c>
      <c r="B188" t="str">
        <f t="shared" si="2"/>
        <v>70+</v>
      </c>
      <c r="C188" t="s">
        <v>9</v>
      </c>
      <c r="D188" t="s">
        <v>7</v>
      </c>
      <c r="E188" t="s">
        <v>7</v>
      </c>
      <c r="F188">
        <v>9.8490000000000002</v>
      </c>
      <c r="G188" t="s">
        <v>30</v>
      </c>
      <c r="H188" t="s">
        <v>15</v>
      </c>
    </row>
    <row r="189" spans="1:8" x14ac:dyDescent="0.35">
      <c r="A189">
        <v>47</v>
      </c>
      <c r="B189" t="str">
        <f t="shared" si="2"/>
        <v>40-50</v>
      </c>
      <c r="C189" t="s">
        <v>9</v>
      </c>
      <c r="D189" t="s">
        <v>7</v>
      </c>
      <c r="E189" t="s">
        <v>7</v>
      </c>
      <c r="F189">
        <v>10.403</v>
      </c>
      <c r="G189" t="s">
        <v>29</v>
      </c>
      <c r="H189" t="s">
        <v>14</v>
      </c>
    </row>
    <row r="190" spans="1:8" hidden="1" x14ac:dyDescent="0.35">
      <c r="A190">
        <v>65</v>
      </c>
      <c r="B190" t="str">
        <f t="shared" si="2"/>
        <v>60-70</v>
      </c>
      <c r="C190" t="s">
        <v>9</v>
      </c>
      <c r="D190" t="s">
        <v>7</v>
      </c>
      <c r="E190" t="s">
        <v>12</v>
      </c>
      <c r="F190">
        <v>34.997</v>
      </c>
      <c r="G190" t="s">
        <v>19</v>
      </c>
      <c r="H190" t="s">
        <v>8</v>
      </c>
    </row>
    <row r="191" spans="1:8" hidden="1" x14ac:dyDescent="0.35">
      <c r="A191">
        <v>64</v>
      </c>
      <c r="B191" t="str">
        <f t="shared" si="2"/>
        <v>60-70</v>
      </c>
      <c r="C191" t="s">
        <v>9</v>
      </c>
      <c r="D191" t="s">
        <v>7</v>
      </c>
      <c r="E191" t="s">
        <v>12</v>
      </c>
      <c r="F191">
        <v>20.931999999999999</v>
      </c>
      <c r="G191" t="s">
        <v>18</v>
      </c>
      <c r="H191" t="s">
        <v>8</v>
      </c>
    </row>
    <row r="192" spans="1:8" hidden="1" x14ac:dyDescent="0.35">
      <c r="A192">
        <v>58</v>
      </c>
      <c r="B192" t="str">
        <f t="shared" si="2"/>
        <v>50-60</v>
      </c>
      <c r="C192" t="s">
        <v>9</v>
      </c>
      <c r="D192" t="s">
        <v>7</v>
      </c>
      <c r="E192" t="s">
        <v>7</v>
      </c>
      <c r="F192">
        <v>18.991</v>
      </c>
      <c r="G192" t="s">
        <v>29</v>
      </c>
      <c r="H192" t="s">
        <v>8</v>
      </c>
    </row>
    <row r="193" spans="1:8" x14ac:dyDescent="0.35">
      <c r="A193">
        <v>23</v>
      </c>
      <c r="B193" t="str">
        <f t="shared" si="2"/>
        <v>20-30</v>
      </c>
      <c r="C193" t="s">
        <v>9</v>
      </c>
      <c r="D193" t="s">
        <v>7</v>
      </c>
      <c r="E193" t="s">
        <v>7</v>
      </c>
      <c r="F193">
        <v>8.0109999999999992</v>
      </c>
      <c r="G193" t="s">
        <v>30</v>
      </c>
      <c r="H193" t="s">
        <v>14</v>
      </c>
    </row>
    <row r="194" spans="1:8" hidden="1" x14ac:dyDescent="0.35">
      <c r="A194">
        <v>72</v>
      </c>
      <c r="B194" t="str">
        <f t="shared" si="2"/>
        <v>70+</v>
      </c>
      <c r="C194" t="s">
        <v>9</v>
      </c>
      <c r="D194" t="s">
        <v>10</v>
      </c>
      <c r="E194" t="s">
        <v>7</v>
      </c>
      <c r="F194">
        <v>16.309999999999999</v>
      </c>
      <c r="G194" t="s">
        <v>29</v>
      </c>
      <c r="H194" t="s">
        <v>8</v>
      </c>
    </row>
    <row r="195" spans="1:8" x14ac:dyDescent="0.35">
      <c r="A195">
        <v>72</v>
      </c>
      <c r="B195" t="str">
        <f t="shared" ref="B195:B201" si="3">IF(A195&gt;69,"70+",IF(A195&gt;59,"60-70",IF(A195&gt;49,"50-60",IF(A195&gt;39,"40-50",IF(A195&gt;29,"30-40",IF(A195&gt;19,"20-30","Minor"))))))</f>
        <v>70+</v>
      </c>
      <c r="C195" t="s">
        <v>9</v>
      </c>
      <c r="D195" t="s">
        <v>10</v>
      </c>
      <c r="E195" t="s">
        <v>7</v>
      </c>
      <c r="F195">
        <v>6.7690000000000001</v>
      </c>
      <c r="G195" t="s">
        <v>30</v>
      </c>
      <c r="H195" t="s">
        <v>11</v>
      </c>
    </row>
    <row r="196" spans="1:8" hidden="1" x14ac:dyDescent="0.35">
      <c r="A196">
        <v>46</v>
      </c>
      <c r="B196" t="str">
        <f t="shared" si="3"/>
        <v>40-50</v>
      </c>
      <c r="C196" t="s">
        <v>6</v>
      </c>
      <c r="D196" t="s">
        <v>7</v>
      </c>
      <c r="E196" t="s">
        <v>7</v>
      </c>
      <c r="F196">
        <v>34.686</v>
      </c>
      <c r="G196" t="s">
        <v>19</v>
      </c>
      <c r="H196" t="s">
        <v>8</v>
      </c>
    </row>
    <row r="197" spans="1:8" x14ac:dyDescent="0.35">
      <c r="A197">
        <v>56</v>
      </c>
      <c r="B197" t="str">
        <f t="shared" si="3"/>
        <v>50-60</v>
      </c>
      <c r="C197" t="s">
        <v>6</v>
      </c>
      <c r="D197" t="s">
        <v>10</v>
      </c>
      <c r="E197" t="s">
        <v>7</v>
      </c>
      <c r="F197">
        <v>11.567</v>
      </c>
      <c r="G197" t="s">
        <v>29</v>
      </c>
      <c r="H197" t="s">
        <v>11</v>
      </c>
    </row>
    <row r="198" spans="1:8" x14ac:dyDescent="0.35">
      <c r="A198">
        <v>16</v>
      </c>
      <c r="B198" t="str">
        <f t="shared" si="3"/>
        <v>Minor</v>
      </c>
      <c r="C198" t="s">
        <v>9</v>
      </c>
      <c r="D198" t="s">
        <v>10</v>
      </c>
      <c r="E198" t="s">
        <v>7</v>
      </c>
      <c r="F198">
        <v>12.006</v>
      </c>
      <c r="G198" t="s">
        <v>29</v>
      </c>
      <c r="H198" t="s">
        <v>11</v>
      </c>
    </row>
    <row r="199" spans="1:8" x14ac:dyDescent="0.35">
      <c r="A199">
        <v>52</v>
      </c>
      <c r="B199" t="str">
        <f t="shared" si="3"/>
        <v>50-60</v>
      </c>
      <c r="C199" t="s">
        <v>9</v>
      </c>
      <c r="D199" t="s">
        <v>12</v>
      </c>
      <c r="E199" t="s">
        <v>7</v>
      </c>
      <c r="F199">
        <v>9.8940000000000001</v>
      </c>
      <c r="G199" t="s">
        <v>30</v>
      </c>
      <c r="H199" t="s">
        <v>13</v>
      </c>
    </row>
    <row r="200" spans="1:8" x14ac:dyDescent="0.35">
      <c r="A200">
        <v>23</v>
      </c>
      <c r="B200" t="str">
        <f t="shared" si="3"/>
        <v>20-30</v>
      </c>
      <c r="C200" t="s">
        <v>9</v>
      </c>
      <c r="D200" t="s">
        <v>12</v>
      </c>
      <c r="E200" t="s">
        <v>12</v>
      </c>
      <c r="F200">
        <v>14.02</v>
      </c>
      <c r="G200" t="s">
        <v>29</v>
      </c>
      <c r="H200" t="s">
        <v>13</v>
      </c>
    </row>
    <row r="201" spans="1:8" x14ac:dyDescent="0.35">
      <c r="A201">
        <v>40</v>
      </c>
      <c r="B201" t="str">
        <f t="shared" si="3"/>
        <v>40-50</v>
      </c>
      <c r="C201" t="s">
        <v>6</v>
      </c>
      <c r="D201" t="s">
        <v>10</v>
      </c>
      <c r="E201" t="s">
        <v>12</v>
      </c>
      <c r="F201">
        <v>11.349</v>
      </c>
      <c r="G201" t="s">
        <v>29</v>
      </c>
      <c r="H201" t="s">
        <v>13</v>
      </c>
    </row>
  </sheetData>
  <autoFilter ref="A1:H201" xr:uid="{910119F8-5869-4775-A562-80F227FF838D}">
    <filterColumn colId="7">
      <filters>
        <filter val="drugA"/>
        <filter val="drugB"/>
        <filter val="drugC"/>
        <filter val="drugX"/>
      </filters>
    </filterColumn>
  </autoFilter>
  <pageMargins left="0.7" right="0.7" top="0.75" bottom="0.75" header="0.3" footer="0.3"/>
  <ignoredErrors>
    <ignoredError sqref="G3:G20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6A02-A4A2-46E0-8FE7-A898CC01E7BC}">
  <dimension ref="A3:N33"/>
  <sheetViews>
    <sheetView topLeftCell="A7" workbookViewId="0">
      <selection activeCell="G36" sqref="G36"/>
    </sheetView>
  </sheetViews>
  <sheetFormatPr defaultColWidth="15.1796875" defaultRowHeight="14.5" x14ac:dyDescent="0.35"/>
  <cols>
    <col min="1" max="1" width="18.08984375" bestFit="1" customWidth="1"/>
    <col min="2" max="2" width="6.08984375" bestFit="1" customWidth="1"/>
    <col min="3" max="5" width="8" bestFit="1" customWidth="1"/>
    <col min="6" max="6" width="10.36328125" bestFit="1" customWidth="1"/>
    <col min="8" max="8" width="12.453125" bestFit="1" customWidth="1"/>
    <col min="9" max="9" width="15.6328125" bestFit="1" customWidth="1"/>
    <col min="10" max="10" width="5.6328125" bestFit="1" customWidth="1"/>
    <col min="11" max="11" width="5.81640625" bestFit="1" customWidth="1"/>
    <col min="12" max="12" width="5.6328125" bestFit="1" customWidth="1"/>
    <col min="13" max="13" width="5.81640625" bestFit="1" customWidth="1"/>
    <col min="14" max="15" width="10.36328125" bestFit="1" customWidth="1"/>
  </cols>
  <sheetData>
    <row r="3" spans="1:14" x14ac:dyDescent="0.35">
      <c r="A3" s="1" t="s">
        <v>39</v>
      </c>
      <c r="C3" s="1" t="s">
        <v>2</v>
      </c>
    </row>
    <row r="4" spans="1:14" x14ac:dyDescent="0.35">
      <c r="A4" s="1" t="s">
        <v>16</v>
      </c>
      <c r="B4" s="1" t="s">
        <v>1</v>
      </c>
      <c r="C4" t="s">
        <v>7</v>
      </c>
      <c r="D4" t="s">
        <v>10</v>
      </c>
      <c r="E4" t="s">
        <v>12</v>
      </c>
      <c r="F4" t="s">
        <v>25</v>
      </c>
    </row>
    <row r="5" spans="1:14" x14ac:dyDescent="0.35">
      <c r="A5" t="s">
        <v>18</v>
      </c>
      <c r="B5" t="s">
        <v>6</v>
      </c>
      <c r="C5" s="3">
        <v>9</v>
      </c>
      <c r="D5" s="3">
        <v>4</v>
      </c>
      <c r="E5" s="3">
        <v>6</v>
      </c>
      <c r="F5" s="3">
        <v>19</v>
      </c>
    </row>
    <row r="6" spans="1:14" x14ac:dyDescent="0.35">
      <c r="B6" t="s">
        <v>9</v>
      </c>
      <c r="C6" s="3">
        <v>5</v>
      </c>
      <c r="D6" s="3">
        <v>3</v>
      </c>
      <c r="E6" s="3">
        <v>8</v>
      </c>
      <c r="F6" s="3">
        <v>16</v>
      </c>
    </row>
    <row r="7" spans="1:14" x14ac:dyDescent="0.35">
      <c r="A7" t="s">
        <v>32</v>
      </c>
      <c r="C7" s="3">
        <v>14</v>
      </c>
      <c r="D7" s="3">
        <v>7</v>
      </c>
      <c r="E7" s="3">
        <v>14</v>
      </c>
      <c r="F7" s="3">
        <v>35</v>
      </c>
    </row>
    <row r="8" spans="1:14" x14ac:dyDescent="0.35">
      <c r="A8" t="s">
        <v>19</v>
      </c>
      <c r="B8" t="s">
        <v>6</v>
      </c>
      <c r="C8" s="3">
        <v>9</v>
      </c>
      <c r="D8" s="3">
        <v>7</v>
      </c>
      <c r="E8" s="3">
        <v>5</v>
      </c>
      <c r="F8" s="3">
        <v>21</v>
      </c>
    </row>
    <row r="9" spans="1:14" x14ac:dyDescent="0.35">
      <c r="B9" t="s">
        <v>9</v>
      </c>
      <c r="C9" s="3">
        <v>7</v>
      </c>
      <c r="D9" s="3">
        <v>6</v>
      </c>
      <c r="E9" s="3">
        <v>3</v>
      </c>
      <c r="F9" s="3">
        <v>16</v>
      </c>
    </row>
    <row r="10" spans="1:14" x14ac:dyDescent="0.35">
      <c r="A10" t="s">
        <v>33</v>
      </c>
      <c r="C10" s="3">
        <v>16</v>
      </c>
      <c r="D10" s="3">
        <v>13</v>
      </c>
      <c r="E10" s="3">
        <v>8</v>
      </c>
      <c r="F10" s="3">
        <v>37</v>
      </c>
      <c r="H10" s="1" t="s">
        <v>31</v>
      </c>
      <c r="I10" s="1" t="s">
        <v>5</v>
      </c>
    </row>
    <row r="11" spans="1:14" x14ac:dyDescent="0.35">
      <c r="A11" t="s">
        <v>20</v>
      </c>
      <c r="B11" t="s">
        <v>6</v>
      </c>
      <c r="C11" s="3">
        <v>3</v>
      </c>
      <c r="D11" s="3">
        <v>6</v>
      </c>
      <c r="E11" s="3">
        <v>5</v>
      </c>
      <c r="F11" s="3">
        <v>14</v>
      </c>
      <c r="H11" s="1" t="s">
        <v>28</v>
      </c>
      <c r="I11" t="s">
        <v>14</v>
      </c>
      <c r="J11" t="s">
        <v>15</v>
      </c>
      <c r="K11" t="s">
        <v>11</v>
      </c>
      <c r="L11" t="s">
        <v>13</v>
      </c>
      <c r="M11" t="s">
        <v>8</v>
      </c>
      <c r="N11" t="s">
        <v>25</v>
      </c>
    </row>
    <row r="12" spans="1:14" x14ac:dyDescent="0.35">
      <c r="B12" t="s">
        <v>9</v>
      </c>
      <c r="C12" s="3">
        <v>8</v>
      </c>
      <c r="D12" s="3">
        <v>14</v>
      </c>
      <c r="E12" s="3">
        <v>2</v>
      </c>
      <c r="F12" s="3">
        <v>24</v>
      </c>
      <c r="H12" t="s">
        <v>30</v>
      </c>
      <c r="I12" s="3">
        <v>7</v>
      </c>
      <c r="J12" s="3">
        <v>5</v>
      </c>
      <c r="K12" s="3">
        <v>4</v>
      </c>
      <c r="L12" s="3">
        <v>22</v>
      </c>
      <c r="M12" s="3"/>
      <c r="N12" s="3">
        <v>38</v>
      </c>
    </row>
    <row r="13" spans="1:14" x14ac:dyDescent="0.35">
      <c r="A13" t="s">
        <v>34</v>
      </c>
      <c r="C13" s="3">
        <v>11</v>
      </c>
      <c r="D13" s="3">
        <v>20</v>
      </c>
      <c r="E13" s="3">
        <v>7</v>
      </c>
      <c r="F13" s="3">
        <v>38</v>
      </c>
      <c r="H13" t="s">
        <v>29</v>
      </c>
      <c r="I13" s="3">
        <v>16</v>
      </c>
      <c r="J13" s="3">
        <v>11</v>
      </c>
      <c r="K13" s="3">
        <v>12</v>
      </c>
      <c r="L13" s="3">
        <v>32</v>
      </c>
      <c r="M13" s="3">
        <v>44</v>
      </c>
      <c r="N13" s="3">
        <v>115</v>
      </c>
    </row>
    <row r="14" spans="1:14" x14ac:dyDescent="0.35">
      <c r="A14" t="s">
        <v>21</v>
      </c>
      <c r="B14" t="s">
        <v>6</v>
      </c>
      <c r="C14" s="3">
        <v>6</v>
      </c>
      <c r="D14" s="3">
        <v>5</v>
      </c>
      <c r="E14" s="3">
        <v>7</v>
      </c>
      <c r="F14" s="3">
        <v>18</v>
      </c>
      <c r="H14" t="s">
        <v>18</v>
      </c>
      <c r="I14" s="3"/>
      <c r="J14" s="3"/>
      <c r="K14" s="3"/>
      <c r="L14" s="3"/>
      <c r="M14" s="3">
        <v>35</v>
      </c>
      <c r="N14" s="3">
        <v>35</v>
      </c>
    </row>
    <row r="15" spans="1:14" x14ac:dyDescent="0.35">
      <c r="B15" t="s">
        <v>9</v>
      </c>
      <c r="C15" s="3">
        <v>5</v>
      </c>
      <c r="D15" s="3">
        <v>4</v>
      </c>
      <c r="E15" s="3">
        <v>6</v>
      </c>
      <c r="F15" s="3">
        <v>15</v>
      </c>
      <c r="H15" t="s">
        <v>19</v>
      </c>
      <c r="I15" s="3"/>
      <c r="J15" s="3"/>
      <c r="K15" s="3"/>
      <c r="L15" s="3"/>
      <c r="M15" s="3">
        <v>12</v>
      </c>
      <c r="N15" s="3">
        <v>12</v>
      </c>
    </row>
    <row r="16" spans="1:14" x14ac:dyDescent="0.35">
      <c r="A16" t="s">
        <v>35</v>
      </c>
      <c r="C16" s="3">
        <v>11</v>
      </c>
      <c r="D16" s="3">
        <v>9</v>
      </c>
      <c r="E16" s="3">
        <v>13</v>
      </c>
      <c r="F16" s="3">
        <v>33</v>
      </c>
      <c r="H16" t="s">
        <v>25</v>
      </c>
      <c r="I16" s="3">
        <v>23</v>
      </c>
      <c r="J16" s="3">
        <v>16</v>
      </c>
      <c r="K16" s="3">
        <v>16</v>
      </c>
      <c r="L16" s="3">
        <v>54</v>
      </c>
      <c r="M16" s="3">
        <v>91</v>
      </c>
      <c r="N16" s="3">
        <v>200</v>
      </c>
    </row>
    <row r="17" spans="1:14" x14ac:dyDescent="0.35">
      <c r="A17" t="s">
        <v>22</v>
      </c>
      <c r="B17" t="s">
        <v>6</v>
      </c>
      <c r="C17" s="3">
        <v>4</v>
      </c>
      <c r="D17" s="3">
        <v>4</v>
      </c>
      <c r="E17" s="3">
        <v>4</v>
      </c>
      <c r="F17" s="3">
        <v>12</v>
      </c>
    </row>
    <row r="18" spans="1:14" x14ac:dyDescent="0.35">
      <c r="B18" t="s">
        <v>9</v>
      </c>
      <c r="C18" s="3">
        <v>7</v>
      </c>
      <c r="D18" s="3">
        <v>5</v>
      </c>
      <c r="E18" s="3">
        <v>8</v>
      </c>
      <c r="F18" s="3">
        <v>20</v>
      </c>
      <c r="H18" s="1" t="s">
        <v>31</v>
      </c>
      <c r="I18" s="1" t="s">
        <v>26</v>
      </c>
    </row>
    <row r="19" spans="1:14" x14ac:dyDescent="0.35">
      <c r="A19" t="s">
        <v>36</v>
      </c>
      <c r="C19" s="3">
        <v>11</v>
      </c>
      <c r="D19" s="3">
        <v>9</v>
      </c>
      <c r="E19" s="3">
        <v>12</v>
      </c>
      <c r="F19" s="3">
        <v>32</v>
      </c>
      <c r="H19" s="1" t="s">
        <v>17</v>
      </c>
      <c r="I19" t="s">
        <v>14</v>
      </c>
      <c r="J19" t="s">
        <v>15</v>
      </c>
      <c r="K19" t="s">
        <v>11</v>
      </c>
      <c r="L19" t="s">
        <v>13</v>
      </c>
      <c r="M19" t="s">
        <v>8</v>
      </c>
      <c r="N19" t="s">
        <v>25</v>
      </c>
    </row>
    <row r="20" spans="1:14" x14ac:dyDescent="0.35">
      <c r="A20" t="s">
        <v>23</v>
      </c>
      <c r="B20" t="s">
        <v>6</v>
      </c>
      <c r="C20" s="3">
        <v>1</v>
      </c>
      <c r="D20" s="3">
        <v>2</v>
      </c>
      <c r="E20" s="3">
        <v>2</v>
      </c>
      <c r="F20" s="3">
        <v>5</v>
      </c>
      <c r="H20" s="2" t="s">
        <v>7</v>
      </c>
      <c r="I20" s="3">
        <v>23</v>
      </c>
      <c r="J20" s="3">
        <v>16</v>
      </c>
      <c r="K20" s="3"/>
      <c r="L20" s="3"/>
      <c r="M20" s="3">
        <v>38</v>
      </c>
      <c r="N20" s="3">
        <v>77</v>
      </c>
    </row>
    <row r="21" spans="1:14" x14ac:dyDescent="0.35">
      <c r="B21" t="s">
        <v>9</v>
      </c>
      <c r="C21" s="3">
        <v>5</v>
      </c>
      <c r="D21" s="3">
        <v>3</v>
      </c>
      <c r="E21" s="3"/>
      <c r="F21" s="3">
        <v>8</v>
      </c>
      <c r="H21" s="2" t="s">
        <v>10</v>
      </c>
      <c r="I21" s="3"/>
      <c r="J21" s="3"/>
      <c r="K21" s="3">
        <v>16</v>
      </c>
      <c r="L21" s="3">
        <v>18</v>
      </c>
      <c r="M21" s="3">
        <v>30</v>
      </c>
      <c r="N21" s="3">
        <v>64</v>
      </c>
    </row>
    <row r="22" spans="1:14" x14ac:dyDescent="0.35">
      <c r="A22" t="s">
        <v>37</v>
      </c>
      <c r="C22" s="3">
        <v>6</v>
      </c>
      <c r="D22" s="3">
        <v>5</v>
      </c>
      <c r="E22" s="3">
        <v>2</v>
      </c>
      <c r="F22" s="3">
        <v>13</v>
      </c>
      <c r="H22" s="2" t="s">
        <v>12</v>
      </c>
      <c r="I22" s="3"/>
      <c r="J22" s="3"/>
      <c r="K22" s="3"/>
      <c r="L22" s="3">
        <v>36</v>
      </c>
      <c r="M22" s="3">
        <v>23</v>
      </c>
      <c r="N22" s="3">
        <v>59</v>
      </c>
    </row>
    <row r="23" spans="1:14" x14ac:dyDescent="0.35">
      <c r="A23" t="s">
        <v>24</v>
      </c>
      <c r="B23" t="s">
        <v>6</v>
      </c>
      <c r="C23" s="3">
        <v>6</v>
      </c>
      <c r="D23" s="3"/>
      <c r="E23" s="3">
        <v>1</v>
      </c>
      <c r="F23" s="3">
        <v>7</v>
      </c>
      <c r="H23" s="2" t="s">
        <v>25</v>
      </c>
      <c r="I23" s="3">
        <v>23</v>
      </c>
      <c r="J23" s="3">
        <v>16</v>
      </c>
      <c r="K23" s="3">
        <v>16</v>
      </c>
      <c r="L23" s="3">
        <v>54</v>
      </c>
      <c r="M23" s="3">
        <v>91</v>
      </c>
      <c r="N23" s="3">
        <v>200</v>
      </c>
    </row>
    <row r="24" spans="1:14" x14ac:dyDescent="0.35">
      <c r="B24" t="s">
        <v>9</v>
      </c>
      <c r="C24" s="3">
        <v>2</v>
      </c>
      <c r="D24" s="3">
        <v>1</v>
      </c>
      <c r="E24" s="3">
        <v>2</v>
      </c>
      <c r="F24" s="3">
        <v>5</v>
      </c>
    </row>
    <row r="25" spans="1:14" x14ac:dyDescent="0.35">
      <c r="A25" t="s">
        <v>38</v>
      </c>
      <c r="C25" s="3">
        <v>8</v>
      </c>
      <c r="D25" s="3">
        <v>1</v>
      </c>
      <c r="E25" s="3">
        <v>3</v>
      </c>
      <c r="F25" s="3">
        <v>12</v>
      </c>
      <c r="H25" s="1" t="s">
        <v>31</v>
      </c>
      <c r="I25" s="1" t="s">
        <v>26</v>
      </c>
    </row>
    <row r="26" spans="1:14" x14ac:dyDescent="0.35">
      <c r="A26" t="s">
        <v>25</v>
      </c>
      <c r="C26" s="3">
        <v>77</v>
      </c>
      <c r="D26" s="3">
        <v>64</v>
      </c>
      <c r="E26" s="3">
        <v>59</v>
      </c>
      <c r="F26" s="3">
        <v>200</v>
      </c>
      <c r="H26" s="1" t="s">
        <v>17</v>
      </c>
      <c r="I26" t="s">
        <v>14</v>
      </c>
      <c r="J26" t="s">
        <v>15</v>
      </c>
      <c r="K26" t="s">
        <v>11</v>
      </c>
      <c r="L26" t="s">
        <v>13</v>
      </c>
      <c r="M26" t="s">
        <v>8</v>
      </c>
      <c r="N26" t="s">
        <v>25</v>
      </c>
    </row>
    <row r="27" spans="1:14" x14ac:dyDescent="0.35">
      <c r="H27" s="2" t="s">
        <v>7</v>
      </c>
      <c r="I27" s="3">
        <v>12</v>
      </c>
      <c r="J27" s="3">
        <v>8</v>
      </c>
      <c r="K27" s="3">
        <v>16</v>
      </c>
      <c r="L27" s="3">
        <v>20</v>
      </c>
      <c r="M27" s="3">
        <v>47</v>
      </c>
      <c r="N27" s="3">
        <v>103</v>
      </c>
    </row>
    <row r="28" spans="1:14" x14ac:dyDescent="0.35">
      <c r="H28" s="2" t="s">
        <v>12</v>
      </c>
      <c r="I28" s="3">
        <v>11</v>
      </c>
      <c r="J28" s="3">
        <v>8</v>
      </c>
      <c r="K28" s="3"/>
      <c r="L28" s="3">
        <v>34</v>
      </c>
      <c r="M28" s="3">
        <v>44</v>
      </c>
      <c r="N28" s="3">
        <v>97</v>
      </c>
    </row>
    <row r="29" spans="1:14" x14ac:dyDescent="0.35">
      <c r="A29" s="1" t="s">
        <v>27</v>
      </c>
      <c r="B29" s="1" t="s">
        <v>26</v>
      </c>
      <c r="H29" s="2" t="s">
        <v>25</v>
      </c>
      <c r="I29" s="3">
        <v>23</v>
      </c>
      <c r="J29" s="3">
        <v>16</v>
      </c>
      <c r="K29" s="3">
        <v>16</v>
      </c>
      <c r="L29" s="3">
        <v>54</v>
      </c>
      <c r="M29" s="3">
        <v>91</v>
      </c>
      <c r="N29" s="3">
        <v>200</v>
      </c>
    </row>
    <row r="30" spans="1:14" x14ac:dyDescent="0.35">
      <c r="A30" s="1" t="s">
        <v>17</v>
      </c>
      <c r="B30" t="s">
        <v>7</v>
      </c>
      <c r="C30" t="s">
        <v>12</v>
      </c>
      <c r="D30" t="s">
        <v>25</v>
      </c>
    </row>
    <row r="31" spans="1:14" x14ac:dyDescent="0.35">
      <c r="A31" s="2" t="s">
        <v>6</v>
      </c>
      <c r="B31" s="3">
        <v>49</v>
      </c>
      <c r="C31" s="3">
        <v>47</v>
      </c>
      <c r="D31" s="3">
        <v>96</v>
      </c>
    </row>
    <row r="32" spans="1:14" x14ac:dyDescent="0.35">
      <c r="A32" s="2" t="s">
        <v>9</v>
      </c>
      <c r="B32" s="3">
        <v>54</v>
      </c>
      <c r="C32" s="3">
        <v>50</v>
      </c>
      <c r="D32" s="3">
        <v>104</v>
      </c>
    </row>
    <row r="33" spans="1:4" x14ac:dyDescent="0.35">
      <c r="A33" s="2" t="s">
        <v>25</v>
      </c>
      <c r="B33" s="3">
        <v>103</v>
      </c>
      <c r="C33" s="3">
        <v>97</v>
      </c>
      <c r="D33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D437-539B-4717-A33A-5BA6D24F432F}">
  <dimension ref="A1"/>
  <sheetViews>
    <sheetView showGridLines="0" topLeftCell="A3" workbookViewId="0">
      <selection activeCell="P41" sqref="P4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BBAF-3732-4ABB-8FC6-3B23E616B04B}">
  <dimension ref="A1:K4"/>
  <sheetViews>
    <sheetView showGridLines="0" tabSelected="1" zoomScale="82" workbookViewId="0">
      <selection activeCell="R27" sqref="R27"/>
    </sheetView>
  </sheetViews>
  <sheetFormatPr defaultRowHeight="14.5" x14ac:dyDescent="0.35"/>
  <sheetData>
    <row r="1" spans="1:11" x14ac:dyDescent="0.35">
      <c r="A1" s="4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</sheetData>
  <mergeCells count="1">
    <mergeCell ref="A1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drug200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Blessings</dc:creator>
  <cp:lastModifiedBy>Blessings</cp:lastModifiedBy>
  <dcterms:created xsi:type="dcterms:W3CDTF">2026-03-04T13:39:26Z</dcterms:created>
  <dcterms:modified xsi:type="dcterms:W3CDTF">2026-03-24T16:16:08Z</dcterms:modified>
</cp:coreProperties>
</file>